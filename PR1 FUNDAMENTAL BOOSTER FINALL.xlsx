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2c81b64dbd6b80/Desktop/"/>
    </mc:Choice>
  </mc:AlternateContent>
  <xr:revisionPtr revIDLastSave="0" documentId="8_{63184E48-5BCB-41E3-BDDB-B1BE0A702055}" xr6:coauthVersionLast="47" xr6:coauthVersionMax="47" xr10:uidLastSave="{00000000-0000-0000-0000-000000000000}"/>
  <bookViews>
    <workbookView xWindow="-120" yWindow="-120" windowWidth="20730" windowHeight="11040" xr2:uid="{3635DFCC-96F4-4444-9A00-1D264B96D00E}"/>
  </bookViews>
  <sheets>
    <sheet name="STUDENT GRADE " sheetId="1" r:id="rId1"/>
    <sheet name=" SALES DATA " sheetId="2" r:id="rId2"/>
    <sheet name=" EMPLOYEES DATA " sheetId="3" r:id="rId3"/>
  </sheets>
  <externalReferences>
    <externalReference r:id="rId4"/>
  </externalReferences>
  <definedNames>
    <definedName name="_xlnm._FilterDatabase" localSheetId="2" hidden="1">' EMPLOYEES DATA '!$A$2:$I$21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" l="1"/>
  <c r="G2" i="3"/>
  <c r="H2" i="3"/>
  <c r="I2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I46" i="3"/>
  <c r="I45" i="3"/>
  <c r="I43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C28" i="3"/>
  <c r="I44" i="3" s="1"/>
  <c r="C26" i="3"/>
  <c r="I42" i="3" s="1"/>
  <c r="O12" i="2"/>
  <c r="O11" i="2"/>
  <c r="O10" i="2"/>
  <c r="O9" i="2"/>
  <c r="O8" i="2"/>
  <c r="O7" i="2"/>
  <c r="O6" i="2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I12" i="3"/>
  <c r="H12" i="3"/>
  <c r="G12" i="3"/>
  <c r="F12" i="3"/>
  <c r="I11" i="3"/>
  <c r="H11" i="3"/>
  <c r="G11" i="3"/>
  <c r="F11" i="3"/>
  <c r="I10" i="3"/>
  <c r="H10" i="3"/>
  <c r="G10" i="3"/>
  <c r="F10" i="3"/>
  <c r="I9" i="3"/>
  <c r="H9" i="3"/>
  <c r="G9" i="3"/>
  <c r="F9" i="3"/>
  <c r="I8" i="3"/>
  <c r="H8" i="3"/>
  <c r="G8" i="3"/>
  <c r="F8" i="3"/>
  <c r="I7" i="3"/>
  <c r="H7" i="3"/>
  <c r="G7" i="3"/>
  <c r="F7" i="3"/>
  <c r="I6" i="3"/>
  <c r="H6" i="3"/>
  <c r="G6" i="3"/>
  <c r="F6" i="3"/>
  <c r="I5" i="3"/>
  <c r="H5" i="3"/>
  <c r="G5" i="3"/>
  <c r="F5" i="3"/>
  <c r="I4" i="3"/>
  <c r="H4" i="3"/>
  <c r="G4" i="3"/>
  <c r="F4" i="3"/>
  <c r="I3" i="3"/>
  <c r="H3" i="3"/>
  <c r="G3" i="3"/>
  <c r="F3" i="3"/>
  <c r="D26" i="2"/>
  <c r="D27" i="2"/>
  <c r="D28" i="2"/>
  <c r="D29" i="2"/>
  <c r="D30" i="2"/>
  <c r="D31" i="2"/>
  <c r="D32" i="2"/>
  <c r="D33" i="2"/>
  <c r="D34" i="2"/>
  <c r="D35" i="2"/>
  <c r="C31" i="1"/>
  <c r="C30" i="1"/>
  <c r="C29" i="1"/>
  <c r="C28" i="1"/>
  <c r="C27" i="1"/>
  <c r="M3" i="1"/>
  <c r="M22" i="1"/>
  <c r="L22" i="1"/>
  <c r="J22" i="1"/>
  <c r="K22" i="1" s="1"/>
  <c r="I22" i="1"/>
  <c r="G22" i="1"/>
  <c r="M21" i="1"/>
  <c r="L21" i="1"/>
  <c r="J21" i="1"/>
  <c r="K21" i="1" s="1"/>
  <c r="I21" i="1"/>
  <c r="G21" i="1"/>
  <c r="M20" i="1"/>
  <c r="L20" i="1"/>
  <c r="J20" i="1"/>
  <c r="K20" i="1" s="1"/>
  <c r="I20" i="1"/>
  <c r="G20" i="1"/>
  <c r="M19" i="1"/>
  <c r="L19" i="1"/>
  <c r="J19" i="1"/>
  <c r="K19" i="1" s="1"/>
  <c r="I19" i="1"/>
  <c r="G19" i="1"/>
  <c r="M18" i="1"/>
  <c r="L18" i="1"/>
  <c r="J18" i="1"/>
  <c r="K18" i="1" s="1"/>
  <c r="I18" i="1"/>
  <c r="G18" i="1"/>
  <c r="M17" i="1"/>
  <c r="L17" i="1"/>
  <c r="J17" i="1"/>
  <c r="K17" i="1" s="1"/>
  <c r="I17" i="1"/>
  <c r="G17" i="1"/>
  <c r="M16" i="1"/>
  <c r="L16" i="1"/>
  <c r="J16" i="1"/>
  <c r="K16" i="1" s="1"/>
  <c r="I16" i="1"/>
  <c r="G16" i="1"/>
  <c r="M15" i="1"/>
  <c r="L15" i="1"/>
  <c r="J15" i="1"/>
  <c r="K15" i="1" s="1"/>
  <c r="I15" i="1"/>
  <c r="G15" i="1"/>
  <c r="M14" i="1"/>
  <c r="L14" i="1"/>
  <c r="J14" i="1"/>
  <c r="K14" i="1" s="1"/>
  <c r="I14" i="1"/>
  <c r="G14" i="1"/>
  <c r="M13" i="1"/>
  <c r="L13" i="1"/>
  <c r="J13" i="1"/>
  <c r="K13" i="1" s="1"/>
  <c r="I13" i="1"/>
  <c r="G13" i="1"/>
  <c r="M12" i="1"/>
  <c r="L12" i="1"/>
  <c r="J12" i="1"/>
  <c r="K12" i="1" s="1"/>
  <c r="I12" i="1"/>
  <c r="G12" i="1"/>
  <c r="M11" i="1"/>
  <c r="L11" i="1"/>
  <c r="J11" i="1"/>
  <c r="K11" i="1" s="1"/>
  <c r="I11" i="1"/>
  <c r="G11" i="1"/>
  <c r="M10" i="1"/>
  <c r="L10" i="1"/>
  <c r="J10" i="1"/>
  <c r="K10" i="1" s="1"/>
  <c r="I10" i="1"/>
  <c r="G10" i="1"/>
  <c r="M9" i="1"/>
  <c r="L9" i="1"/>
  <c r="J9" i="1"/>
  <c r="K9" i="1" s="1"/>
  <c r="I9" i="1"/>
  <c r="G9" i="1"/>
  <c r="M8" i="1"/>
  <c r="L8" i="1"/>
  <c r="J8" i="1"/>
  <c r="K8" i="1" s="1"/>
  <c r="I8" i="1"/>
  <c r="G8" i="1"/>
  <c r="M7" i="1"/>
  <c r="L7" i="1"/>
  <c r="J7" i="1"/>
  <c r="K7" i="1" s="1"/>
  <c r="I7" i="1"/>
  <c r="G7" i="1"/>
  <c r="M6" i="1"/>
  <c r="L6" i="1"/>
  <c r="J6" i="1"/>
  <c r="K6" i="1" s="1"/>
  <c r="I6" i="1"/>
  <c r="G6" i="1"/>
  <c r="M5" i="1"/>
  <c r="L5" i="1"/>
  <c r="J5" i="1"/>
  <c r="K5" i="1" s="1"/>
  <c r="I5" i="1"/>
  <c r="G5" i="1"/>
  <c r="M4" i="1"/>
  <c r="L4" i="1"/>
  <c r="J4" i="1"/>
  <c r="K4" i="1" s="1"/>
  <c r="I4" i="1"/>
  <c r="G4" i="1"/>
  <c r="L3" i="1"/>
  <c r="J3" i="1"/>
  <c r="K3" i="1" s="1"/>
  <c r="I3" i="1"/>
  <c r="G3" i="1"/>
</calcChain>
</file>

<file path=xl/sharedStrings.xml><?xml version="1.0" encoding="utf-8"?>
<sst xmlns="http://schemas.openxmlformats.org/spreadsheetml/2006/main" count="429" uniqueCount="240">
  <si>
    <t>PR. 1 — Fundamental Booster | Student Data</t>
  </si>
  <si>
    <t>Student ID</t>
  </si>
  <si>
    <t>Name</t>
  </si>
  <si>
    <t>Math</t>
  </si>
  <si>
    <t>Science</t>
  </si>
  <si>
    <t>English</t>
  </si>
  <si>
    <t>Enrollment Date</t>
  </si>
  <si>
    <t>Student Grade</t>
  </si>
  <si>
    <t>Date of Birth</t>
  </si>
  <si>
    <t>Score</t>
  </si>
  <si>
    <t>Total Marks</t>
  </si>
  <si>
    <t>Percentage</t>
  </si>
  <si>
    <t>Age</t>
  </si>
  <si>
    <t>Math &amp; Science &gt;80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</si>
  <si>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</si>
  <si>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</si>
  <si>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</si>
  <si>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</si>
  <si>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</si>
  <si>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</si>
  <si>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</si>
  <si>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</si>
  <si>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</si>
  <si>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</si>
  <si>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</si>
  <si>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</si>
  <si>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</si>
  <si>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</si>
  <si>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</si>
  <si>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</si>
  <si>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</si>
  <si>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</si>
  <si>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</si>
  <si>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</si>
  <si>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TASK EXAMPLES</t>
  </si>
  <si>
    <t>Input / Criteria</t>
  </si>
  <si>
    <t>Result</t>
  </si>
  <si>
    <t>Notes</t>
  </si>
  <si>
    <t>COUNTIFS – Math above 50</t>
  </si>
  <si>
    <t>&gt;50</t>
  </si>
  <si>
    <t>students</t>
  </si>
  <si>
    <t>COUNTIFS – Math above 60</t>
  </si>
  <si>
    <t>&gt;60</t>
  </si>
  <si>
    <t>AVERAGEIFS – Math above 60</t>
  </si>
  <si>
    <t>Average Math score where Math &gt;60</t>
  </si>
  <si>
    <t>VLOOKUP – Student name from ID</t>
  </si>
  <si>
    <t>Exact match: ID 1006</t>
  </si>
  <si>
    <t>Age – date of birth example</t>
  </si>
  <si>
    <t>Example only; DOB is not provided for students</t>
  </si>
  <si>
    <t>FILTER – Top-performing students</t>
  </si>
  <si>
    <t>Math &gt; 80</t>
  </si>
  <si>
    <t>See matching rows in the result preview below</t>
  </si>
  <si>
    <t>Full rows shown in result preview below</t>
  </si>
  <si>
    <t>RESULT PREVIEW — Top students (Math &gt; 80)</t>
  </si>
  <si>
    <t>Sales ID</t>
  </si>
  <si>
    <t>Product Code</t>
  </si>
  <si>
    <t>Product</t>
  </si>
  <si>
    <t>Region</t>
  </si>
  <si>
    <t>Salesperson</t>
  </si>
  <si>
    <t>Amount</t>
  </si>
  <si>
    <t>Date</t>
  </si>
  <si>
    <t>Discount Rate</t>
  </si>
  <si>
    <t>Discount Type</t>
  </si>
  <si>
    <t>MONTH</t>
  </si>
  <si>
    <t>PC101</t>
  </si>
  <si>
    <t>Keyboard</t>
  </si>
  <si>
    <t>South</t>
  </si>
  <si>
    <t>Person 1</t>
  </si>
  <si>
    <t>No Discount</t>
  </si>
  <si>
    <t>Not Eligible</t>
  </si>
  <si>
    <t>Jan</t>
  </si>
  <si>
    <t>PC102</t>
  </si>
  <si>
    <t>Printer</t>
  </si>
  <si>
    <t>West</t>
  </si>
  <si>
    <t>Person 2</t>
  </si>
  <si>
    <t>5%</t>
  </si>
  <si>
    <t>Eligible</t>
  </si>
  <si>
    <t>PC103</t>
  </si>
  <si>
    <t>Mouse</t>
  </si>
  <si>
    <t>Person 3</t>
  </si>
  <si>
    <t>10%</t>
  </si>
  <si>
    <t>PC104</t>
  </si>
  <si>
    <t>East</t>
  </si>
  <si>
    <t>Person 4</t>
  </si>
  <si>
    <t>Feb</t>
  </si>
  <si>
    <t>PC105</t>
  </si>
  <si>
    <t>North</t>
  </si>
  <si>
    <t>Person 5</t>
  </si>
  <si>
    <t>20%</t>
  </si>
  <si>
    <t>Mar</t>
  </si>
  <si>
    <t>PC106</t>
  </si>
  <si>
    <t>Person 6</t>
  </si>
  <si>
    <t>PC107</t>
  </si>
  <si>
    <t>Person 7</t>
  </si>
  <si>
    <t>Apr</t>
  </si>
  <si>
    <t>PC108</t>
  </si>
  <si>
    <t>Person 8</t>
  </si>
  <si>
    <t>PC109</t>
  </si>
  <si>
    <t>Person 9</t>
  </si>
  <si>
    <t>May</t>
  </si>
  <si>
    <t>PC110</t>
  </si>
  <si>
    <t>Person 10</t>
  </si>
  <si>
    <t>PC111</t>
  </si>
  <si>
    <t>Person 11</t>
  </si>
  <si>
    <t>PC112</t>
  </si>
  <si>
    <t>Monitor</t>
  </si>
  <si>
    <t>Person 12</t>
  </si>
  <si>
    <t>Jun</t>
  </si>
  <si>
    <t>PC113</t>
  </si>
  <si>
    <t>Laptop</t>
  </si>
  <si>
    <t>Person 13</t>
  </si>
  <si>
    <t>PC114</t>
  </si>
  <si>
    <t>Person 14</t>
  </si>
  <si>
    <t>Jul</t>
  </si>
  <si>
    <t>PC115</t>
  </si>
  <si>
    <t>Person 15</t>
  </si>
  <si>
    <t>PC116</t>
  </si>
  <si>
    <t>Person 16</t>
  </si>
  <si>
    <t>Aug</t>
  </si>
  <si>
    <t>PC117</t>
  </si>
  <si>
    <t>Person 17</t>
  </si>
  <si>
    <t>PC118</t>
  </si>
  <si>
    <t>Person 18</t>
  </si>
  <si>
    <t>Sep</t>
  </si>
  <si>
    <t>PC119</t>
  </si>
  <si>
    <t>Person 19</t>
  </si>
  <si>
    <t>PC120</t>
  </si>
  <si>
    <t>Person 20</t>
  </si>
  <si>
    <t>Oct</t>
  </si>
  <si>
    <t>Rounds up to next 1,000</t>
  </si>
  <si>
    <t>F3</t>
  </si>
  <si>
    <t>CEILING – Next 1,000</t>
  </si>
  <si>
    <t>Uses first sales amount</t>
  </si>
  <si>
    <t>ROUND – Amount to whole rupee</t>
  </si>
  <si>
    <t>15 days</t>
  </si>
  <si>
    <t>Date difference in days</t>
  </si>
  <si>
    <t>Sum current Amount rows</t>
  </si>
  <si>
    <t>OFFSET – dynamic sales total</t>
  </si>
  <si>
    <t>Range text is in M8</t>
  </si>
  <si>
    <t>F3:F22</t>
  </si>
  <si>
    <t>INDIRECT – range to total</t>
  </si>
  <si>
    <t>First occurrence position</t>
  </si>
  <si>
    <t>MATCH – product position</t>
  </si>
  <si>
    <t>Exact match</t>
  </si>
  <si>
    <t>XLOOKUP – salesperson amount</t>
  </si>
  <si>
    <t>Excel 365/2021 array formula</t>
  </si>
  <si>
    <t>INDEX/MATCH – salesperson + month</t>
  </si>
  <si>
    <t>Exact match; amount column is 5th in B:F</t>
  </si>
  <si>
    <t>VLOOKUP – Amount by product code</t>
  </si>
  <si>
    <t>Expected total</t>
  </si>
  <si>
    <t>SUMIFS – East region + Mouse</t>
  </si>
  <si>
    <t>Result Check</t>
  </si>
  <si>
    <t>Formula / Result</t>
  </si>
  <si>
    <t>Input 2</t>
  </si>
  <si>
    <t>Input 1</t>
  </si>
  <si>
    <t>SALES TASK EXAMPLES</t>
  </si>
  <si>
    <t>Employee ID</t>
  </si>
  <si>
    <t>Department</t>
  </si>
  <si>
    <t>Salary</t>
  </si>
  <si>
    <t>Joining Date</t>
  </si>
  <si>
    <t>Days Since Joining</t>
  </si>
  <si>
    <t>First Name</t>
  </si>
  <si>
    <t>UPPER Name</t>
  </si>
  <si>
    <t>lower Name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</si>
  <si>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</si>
  <si>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</si>
  <si>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</si>
  <si>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</si>
  <si>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</si>
  <si>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</si>
  <si>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</si>
  <si>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</si>
  <si>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</si>
  <si>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</si>
  <si>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</si>
  <si>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</si>
  <si>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</si>
  <si>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</si>
  <si>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</si>
  <si>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</si>
  <si>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</si>
  <si>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</si>
  <si>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</si>
  <si>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</si>
  <si>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</si>
  <si>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</si>
  <si>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</si>
  <si>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</si>
  <si>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 xml:space="preserve"> </t>
  </si>
  <si>
    <t>RESULT PREVIEW — Sales tasks</t>
  </si>
  <si>
    <t>Task</t>
  </si>
  <si>
    <t>Answer</t>
  </si>
  <si>
    <t>Meaning</t>
  </si>
  <si>
    <t>SUMIFS — East + Mouse</t>
  </si>
  <si>
    <t>Sum of matching sales amounts</t>
  </si>
  <si>
    <t>VLOOKUP — PC110 amount</t>
  </si>
  <si>
    <t>Product code PC110; returns Amount, not price</t>
  </si>
  <si>
    <t>INDEX/MATCH — Person 4 + Feb</t>
  </si>
  <si>
    <t>Sales amount</t>
  </si>
  <si>
    <t>XLOOKUP — Person 12 amount</t>
  </si>
  <si>
    <t>MATCH — first Mouse position</t>
  </si>
  <si>
    <t>Position in Product list</t>
  </si>
  <si>
    <t>INDIRECT — SUM(F3:F22)</t>
  </si>
  <si>
    <t>Total sales amount</t>
  </si>
  <si>
    <t>OFFSET — dynamic sales total</t>
  </si>
  <si>
    <t>Sum of all Amount rows using OFFSET</t>
  </si>
  <si>
    <t>Matching sales rows — East region + Mouse</t>
  </si>
  <si>
    <t xml:space="preserve">  </t>
  </si>
  <si>
    <t>Employee text-function preview</t>
  </si>
  <si>
    <t>Original Name</t>
  </si>
  <si>
    <t>EMPLOYEE TASK EXAMPLES</t>
  </si>
  <si>
    <t>Input</t>
  </si>
  <si>
    <t>Employee ID lookup</t>
  </si>
  <si>
    <t>Returns salary</t>
  </si>
  <si>
    <t>Return field</t>
  </si>
  <si>
    <t>Use XLOOKUP or INDEX/MATCH</t>
  </si>
  <si>
    <t>Return column is Salary</t>
  </si>
  <si>
    <t>INDEX/MATCH – salary by ID</t>
  </si>
  <si>
    <t>Returns ₹35,960</t>
  </si>
  <si>
    <t>RESULT PREVIEW — Employee tasks</t>
  </si>
  <si>
    <t>Details</t>
  </si>
  <si>
    <t>XLOOKUP — ID 3007 salary</t>
  </si>
  <si>
    <t>INDEX/MATCH — ID 3007 salary</t>
  </si>
  <si>
    <t>Same result using INDEX + MATCH</t>
  </si>
  <si>
    <t>LEFT — First name</t>
  </si>
  <si>
    <t>Employee</t>
  </si>
  <si>
    <t>UPPER — Name</t>
  </si>
  <si>
    <t>EMPLOYEE 7</t>
  </si>
  <si>
    <t>LOWER — Name</t>
  </si>
  <si>
    <t>employee 7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</si>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</sst>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&quot;₹&quot;#,##0.00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1F4E78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0" fontId="5" fillId="0" borderId="0" xfId="0" applyFont="1"/>
    <xf numFmtId="0" fontId="2" fillId="2" borderId="0" xfId="0" applyFont="1" applyFill="1" applyBorder="1" applyAlignment="1">
      <alignment vertical="center"/>
    </xf>
    <xf numFmtId="0" fontId="0" fillId="0" borderId="0" xfId="0" applyBorder="1"/>
    <xf numFmtId="0" fontId="0" fillId="0" borderId="0" xfId="0" applyFill="1" applyBorder="1"/>
    <xf numFmtId="165" fontId="0" fillId="0" borderId="0" xfId="0" applyNumberFormat="1" applyFill="1" applyBorder="1"/>
    <xf numFmtId="164" fontId="0" fillId="0" borderId="0" xfId="0" applyNumberFormat="1" applyFill="1" applyBorder="1"/>
    <xf numFmtId="0" fontId="4" fillId="3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165" fontId="5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3" fillId="5" borderId="0" xfId="0" applyFont="1" applyFill="1" applyAlignment="1">
      <alignment horizontal="left" vertical="center"/>
    </xf>
    <xf numFmtId="0" fontId="0" fillId="5" borderId="0" xfId="0" applyFill="1"/>
    <xf numFmtId="0" fontId="2" fillId="5" borderId="0" xfId="0" applyFont="1" applyFill="1" applyAlignment="1">
      <alignment wrapText="1"/>
    </xf>
    <xf numFmtId="0" fontId="3" fillId="5" borderId="0" xfId="0" applyFont="1" applyFill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wrapText="1"/>
    </xf>
    <xf numFmtId="0" fontId="0" fillId="0" borderId="9" xfId="0" applyBorder="1" applyAlignment="1">
      <alignment wrapText="1"/>
    </xf>
    <xf numFmtId="0" fontId="5" fillId="0" borderId="2" xfId="0" applyFont="1" applyBorder="1" applyAlignment="1">
      <alignment vertical="center" wrapText="1"/>
    </xf>
    <xf numFmtId="164" fontId="5" fillId="0" borderId="3" xfId="0" applyNumberFormat="1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164" fontId="5" fillId="0" borderId="9" xfId="0" applyNumberFormat="1" applyFont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2" fillId="5" borderId="4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2" fillId="5" borderId="6" xfId="0" applyFont="1" applyFill="1" applyBorder="1" applyAlignment="1">
      <alignment wrapText="1"/>
    </xf>
    <xf numFmtId="2" fontId="0" fillId="0" borderId="12" xfId="0" applyNumberFormat="1" applyBorder="1" applyAlignment="1">
      <alignment vertical="center"/>
    </xf>
    <xf numFmtId="2" fontId="0" fillId="0" borderId="8" xfId="0" applyNumberFormat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2" fontId="0" fillId="4" borderId="12" xfId="0" applyNumberFormat="1" applyFill="1" applyBorder="1" applyAlignment="1">
      <alignment vertical="center"/>
    </xf>
    <xf numFmtId="15" fontId="0" fillId="0" borderId="1" xfId="0" applyNumberFormat="1" applyBorder="1" applyAlignment="1">
      <alignment horizontal="center"/>
    </xf>
    <xf numFmtId="0" fontId="0" fillId="0" borderId="1" xfId="0" applyFill="1" applyBorder="1"/>
    <xf numFmtId="165" fontId="0" fillId="0" borderId="1" xfId="0" applyNumberFormat="1" applyFill="1" applyBorder="1"/>
    <xf numFmtId="164" fontId="0" fillId="0" borderId="1" xfId="0" applyNumberFormat="1" applyFill="1" applyBorder="1"/>
    <xf numFmtId="165" fontId="5" fillId="0" borderId="1" xfId="0" applyNumberFormat="1" applyFont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0" fillId="0" borderId="0" xfId="0" applyBorder="1"/>
    <xf numFmtId="0" fontId="5" fillId="0" borderId="0" xfId="0" applyFont="1" applyBorder="1"/>
    <xf numFmtId="0" fontId="2" fillId="2" borderId="0" xfId="0" applyFont="1" applyFill="1" applyBorder="1" applyAlignment="1">
      <alignment wrapText="1"/>
    </xf>
    <xf numFmtId="0" fontId="2" fillId="5" borderId="0" xfId="0" applyFont="1" applyFill="1" applyBorder="1" applyAlignment="1">
      <alignment vertical="center"/>
    </xf>
    <xf numFmtId="165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118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-m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&quot;₹&quot;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&quot;₹&quot;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\-mmm\-yyyy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dd\-mmm\-yyyy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\-mmm\-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7C9D6"/>
        </bottom>
      </border>
    </dxf>
    <dxf>
      <border outline="0">
        <bottom style="hair">
          <color rgb="FFD9E2F3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D9E1F2"/>
        </bottom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/>
        <right/>
        <top/>
        <bottom style="hair">
          <color rgb="FFD9E2F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/>
        <bottom style="hair">
          <color rgb="FFD9E2F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/>
        <bottom style="hair">
          <color rgb="FFD9E2F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/>
        <bottom style="hair">
          <color rgb="FFD9E2F3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/>
        <bottom style="hair">
          <color rgb="FFD9E2F3"/>
        </bottom>
        <vertical/>
        <horizontal/>
      </border>
    </dxf>
    <dxf>
      <border outline="0">
        <bottom style="hair">
          <color rgb="FFD9E2F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D9E1F2"/>
        </bottom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4E78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rgb="FFB7C9D6"/>
        </bottom>
      </border>
    </dxf>
    <dxf>
      <border outline="0">
        <bottom style="hair">
          <color rgb="FFD9E2F3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border outline="0">
        <bottom style="thin">
          <color rgb="FFD9E1F2"/>
        </bottom>
      </border>
    </dxf>
    <dxf>
      <border outline="0">
        <bottom style="thin">
          <color rgb="FFD9E1F2"/>
        </bottom>
      </border>
    </dxf>
    <dxf>
      <border outline="0">
        <bottom style="hair">
          <color rgb="FFD9E2F3"/>
        </bottom>
      </border>
    </dxf>
    <dxf>
      <border outline="0">
        <top style="thin">
          <color rgb="FFB7C9D6"/>
        </top>
        <bottom style="hair">
          <color rgb="FFD9E2F3"/>
        </bottom>
      </border>
    </dxf>
    <dxf>
      <border outline="0">
        <bottom style="thin">
          <color rgb="FFD9E1F2"/>
        </bottom>
      </border>
    </dxf>
    <dxf>
      <border outline="0">
        <top style="thin">
          <color rgb="FFD9E1F2"/>
        </top>
        <bottom style="thin">
          <color rgb="FFD9E1F2"/>
        </bottom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9900FF"/>
      <color rgb="FFCC99FF"/>
      <color rgb="FF722A7A"/>
      <color rgb="FFFF99FF"/>
      <color rgb="FFCC00FF"/>
      <color rgb="FFA78B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PR1_Fundamental_Booster_Final_Checked.xlsx" TargetMode="External"/><Relationship Id="rId1" Type="http://schemas.openxmlformats.org/officeDocument/2006/relationships/externalLinkPath" Target="file:///C:\Users\hp\Downloads\PR1_Fundamental_Booster_Final_Check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 Data"/>
      <sheetName val="Sales Data"/>
      <sheetName val="Employee Data"/>
      <sheetName val="Read Me"/>
    </sheetNames>
    <sheetDataSet>
      <sheetData sheetId="0" refreshError="1"/>
      <sheetData sheetId="1">
        <row r="3">
          <cell r="B3" t="str">
            <v>PC101</v>
          </cell>
          <cell r="C3" t="str">
            <v>Keyboard</v>
          </cell>
          <cell r="D3" t="str">
            <v>South</v>
          </cell>
          <cell r="E3" t="str">
            <v>Person 1</v>
          </cell>
          <cell r="F3">
            <v>7048</v>
          </cell>
          <cell r="J3" t="str">
            <v>Jan</v>
          </cell>
        </row>
        <row r="4">
          <cell r="B4" t="str">
            <v>PC102</v>
          </cell>
          <cell r="C4" t="str">
            <v>Printer</v>
          </cell>
          <cell r="D4" t="str">
            <v>West</v>
          </cell>
          <cell r="E4" t="str">
            <v>Person 2</v>
          </cell>
          <cell r="F4">
            <v>17428</v>
          </cell>
          <cell r="J4" t="str">
            <v>Jan</v>
          </cell>
        </row>
        <row r="5">
          <cell r="B5" t="str">
            <v>PC103</v>
          </cell>
          <cell r="C5" t="str">
            <v>Mouse</v>
          </cell>
          <cell r="D5" t="str">
            <v>South</v>
          </cell>
          <cell r="E5" t="str">
            <v>Person 3</v>
          </cell>
          <cell r="F5">
            <v>23672</v>
          </cell>
          <cell r="J5" t="str">
            <v>Jan</v>
          </cell>
        </row>
        <row r="6">
          <cell r="B6" t="str">
            <v>PC104</v>
          </cell>
          <cell r="C6" t="str">
            <v>Printer</v>
          </cell>
          <cell r="D6" t="str">
            <v>East</v>
          </cell>
          <cell r="E6" t="str">
            <v>Person 4</v>
          </cell>
          <cell r="F6">
            <v>5264</v>
          </cell>
          <cell r="J6" t="str">
            <v>Feb</v>
          </cell>
        </row>
        <row r="7">
          <cell r="B7" t="str">
            <v>PC105</v>
          </cell>
          <cell r="C7" t="str">
            <v>Keyboard</v>
          </cell>
          <cell r="D7" t="str">
            <v>North</v>
          </cell>
          <cell r="E7" t="str">
            <v>Person 5</v>
          </cell>
          <cell r="F7">
            <v>43388</v>
          </cell>
          <cell r="J7" t="str">
            <v>Mar</v>
          </cell>
        </row>
        <row r="8">
          <cell r="B8" t="str">
            <v>PC106</v>
          </cell>
          <cell r="C8" t="str">
            <v>Mouse</v>
          </cell>
          <cell r="D8" t="str">
            <v>North</v>
          </cell>
          <cell r="E8" t="str">
            <v>Person 6</v>
          </cell>
          <cell r="F8">
            <v>19757</v>
          </cell>
          <cell r="J8" t="str">
            <v>Mar</v>
          </cell>
        </row>
        <row r="9">
          <cell r="B9" t="str">
            <v>PC107</v>
          </cell>
          <cell r="C9" t="str">
            <v>Mouse</v>
          </cell>
          <cell r="D9" t="str">
            <v>East</v>
          </cell>
          <cell r="E9" t="str">
            <v>Person 7</v>
          </cell>
          <cell r="F9">
            <v>32058</v>
          </cell>
          <cell r="J9" t="str">
            <v>Apr</v>
          </cell>
        </row>
        <row r="10">
          <cell r="B10" t="str">
            <v>PC108</v>
          </cell>
          <cell r="C10" t="str">
            <v>Keyboard</v>
          </cell>
          <cell r="D10" t="str">
            <v>East</v>
          </cell>
          <cell r="E10" t="str">
            <v>Person 8</v>
          </cell>
          <cell r="F10">
            <v>46429</v>
          </cell>
          <cell r="J10" t="str">
            <v>Apr</v>
          </cell>
        </row>
        <row r="11">
          <cell r="B11" t="str">
            <v>PC109</v>
          </cell>
          <cell r="C11" t="str">
            <v>Printer</v>
          </cell>
          <cell r="D11" t="str">
            <v>East</v>
          </cell>
          <cell r="E11" t="str">
            <v>Person 9</v>
          </cell>
          <cell r="F11">
            <v>19746</v>
          </cell>
          <cell r="J11" t="str">
            <v>May</v>
          </cell>
        </row>
        <row r="12">
          <cell r="B12" t="str">
            <v>PC110</v>
          </cell>
          <cell r="C12" t="str">
            <v>Keyboard</v>
          </cell>
          <cell r="D12" t="str">
            <v>South</v>
          </cell>
          <cell r="E12" t="str">
            <v>Person 10</v>
          </cell>
          <cell r="F12">
            <v>35185</v>
          </cell>
          <cell r="J12" t="str">
            <v>May</v>
          </cell>
        </row>
        <row r="13">
          <cell r="B13" t="str">
            <v>PC111</v>
          </cell>
          <cell r="C13" t="str">
            <v>Keyboard</v>
          </cell>
          <cell r="D13" t="str">
            <v>East</v>
          </cell>
          <cell r="E13" t="str">
            <v>Person 11</v>
          </cell>
          <cell r="F13">
            <v>33920</v>
          </cell>
          <cell r="J13" t="str">
            <v>May</v>
          </cell>
        </row>
        <row r="14">
          <cell r="B14" t="str">
            <v>PC112</v>
          </cell>
          <cell r="C14" t="str">
            <v>Monitor</v>
          </cell>
          <cell r="D14" t="str">
            <v>North</v>
          </cell>
          <cell r="E14" t="str">
            <v>Person 12</v>
          </cell>
          <cell r="F14">
            <v>35611</v>
          </cell>
          <cell r="J14" t="str">
            <v>Jun</v>
          </cell>
        </row>
        <row r="15">
          <cell r="B15" t="str">
            <v>PC113</v>
          </cell>
          <cell r="C15" t="str">
            <v>Laptop</v>
          </cell>
          <cell r="D15" t="str">
            <v>East</v>
          </cell>
          <cell r="E15" t="str">
            <v>Person 13</v>
          </cell>
          <cell r="F15">
            <v>15560</v>
          </cell>
          <cell r="J15" t="str">
            <v>Jun</v>
          </cell>
        </row>
        <row r="16">
          <cell r="B16" t="str">
            <v>PC114</v>
          </cell>
          <cell r="C16" t="str">
            <v>Laptop</v>
          </cell>
          <cell r="D16" t="str">
            <v>South</v>
          </cell>
          <cell r="E16" t="str">
            <v>Person 14</v>
          </cell>
          <cell r="F16">
            <v>7283</v>
          </cell>
          <cell r="J16" t="str">
            <v>Jul</v>
          </cell>
        </row>
        <row r="17">
          <cell r="B17" t="str">
            <v>PC115</v>
          </cell>
          <cell r="C17" t="str">
            <v>Laptop</v>
          </cell>
          <cell r="D17" t="str">
            <v>East</v>
          </cell>
          <cell r="E17" t="str">
            <v>Person 15</v>
          </cell>
          <cell r="F17">
            <v>15678</v>
          </cell>
          <cell r="J17" t="str">
            <v>Jul</v>
          </cell>
        </row>
        <row r="18">
          <cell r="B18" t="str">
            <v>PC116</v>
          </cell>
          <cell r="C18" t="str">
            <v>Mouse</v>
          </cell>
          <cell r="D18" t="str">
            <v>East</v>
          </cell>
          <cell r="E18" t="str">
            <v>Person 16</v>
          </cell>
          <cell r="F18">
            <v>5277</v>
          </cell>
          <cell r="J18" t="str">
            <v>Aug</v>
          </cell>
        </row>
        <row r="19">
          <cell r="B19" t="str">
            <v>PC117</v>
          </cell>
          <cell r="C19" t="str">
            <v>Monitor</v>
          </cell>
          <cell r="D19" t="str">
            <v>North</v>
          </cell>
          <cell r="E19" t="str">
            <v>Person 17</v>
          </cell>
          <cell r="F19">
            <v>41871</v>
          </cell>
          <cell r="J19" t="str">
            <v>Aug</v>
          </cell>
        </row>
        <row r="20">
          <cell r="B20" t="str">
            <v>PC118</v>
          </cell>
          <cell r="C20" t="str">
            <v>Monitor</v>
          </cell>
          <cell r="D20" t="str">
            <v>West</v>
          </cell>
          <cell r="E20" t="str">
            <v>Person 18</v>
          </cell>
          <cell r="F20">
            <v>38161</v>
          </cell>
          <cell r="J20" t="str">
            <v>Sep</v>
          </cell>
        </row>
        <row r="21">
          <cell r="B21" t="str">
            <v>PC119</v>
          </cell>
          <cell r="C21" t="str">
            <v>Mouse</v>
          </cell>
          <cell r="D21" t="str">
            <v>West</v>
          </cell>
          <cell r="E21" t="str">
            <v>Person 19</v>
          </cell>
          <cell r="F21">
            <v>30436</v>
          </cell>
          <cell r="J21" t="str">
            <v>Sep</v>
          </cell>
        </row>
        <row r="22">
          <cell r="B22" t="str">
            <v>PC120</v>
          </cell>
          <cell r="C22" t="str">
            <v>Printer</v>
          </cell>
          <cell r="D22" t="str">
            <v>West</v>
          </cell>
          <cell r="E22" t="str">
            <v>Person 20</v>
          </cell>
          <cell r="F22">
            <v>33953</v>
          </cell>
          <cell r="J22" t="str">
            <v>Oct</v>
          </cell>
        </row>
      </sheetData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41E2A84-14B2-4737-8331-2ED015507BCA}" name="Table13" displayName="Table13" ref="A2:J22" totalsRowShown="0" headerRowDxfId="74" dataDxfId="75" headerRowBorderDxfId="84" tableBorderDxfId="85">
  <autoFilter ref="A2:J22" xr:uid="{B41E2A84-14B2-4737-8331-2ED015507BCA}"/>
  <tableColumns count="10">
    <tableColumn id="1" xr3:uid="{B141FACE-9D73-4554-9E62-0E1D9DE9E632}" name="Student ID" dataDxfId="83"/>
    <tableColumn id="2" xr3:uid="{8530C24C-19C2-4A6E-ADB7-DE9B5920F702}" name="Name" dataDxfId="82"/>
    <tableColumn id="3" xr3:uid="{42C58047-D398-4BB5-A4E0-5B97276BE162}" name="Math" dataDxfId="81"/>
    <tableColumn id="4" xr3:uid="{913D3811-CF58-462C-A605-B812E8DA7343}" name="Science" dataDxfId="80"/>
    <tableColumn id="5" xr3:uid="{E5DB696E-3408-443F-A01B-318894B4A546}" name="English" dataDxfId="79"/>
    <tableColumn id="6" xr3:uid="{44A6EBCA-2FC5-4AAC-A36C-B1674256F7DD}" name="Enrollment Date" dataDxfId="78"/>
    <tableColumn id="7" xr3:uid="{1A2EF1A1-4F1D-481D-83FB-02D6C079AAAE}" name="Student Grade" dataDxfId="77">
      <calculatedColumnFormula>IF(C3&gt;=80,"A",IF(C3&gt;=60,"B",IF(C3&gt;=40,"C","Fail")))</calculatedColumnFormula>
    </tableColumn>
    <tableColumn id="8" xr3:uid="{FAEE0E45-C1AB-470B-98B6-16EB4F759132}" name="Date of Birth" dataDxfId="41"/>
    <tableColumn id="9" xr3:uid="{268D4802-3748-4A29-A3DB-E20BE6AEF173}" name="Score" dataDxfId="42">
      <calculatedColumnFormula>IF(C3&gt;80,"Top Student","Normal")</calculatedColumnFormula>
    </tableColumn>
    <tableColumn id="10" xr3:uid="{3E6A0D6B-F89B-4CF7-9EE8-EA440111F32E}" name="Total Marks" dataDxfId="76">
      <calculatedColumnFormula>SUM(C3:E3)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114BAB-0955-4E15-A9AB-3C2BC8DDD613}" name="Table14" displayName="Table14" ref="L2:M22" totalsRowShown="0" headerRowDxfId="68" headerRowBorderDxfId="72" tableBorderDxfId="73" totalsRowBorderDxfId="71">
  <autoFilter ref="L2:M22" xr:uid="{4B114BAB-0955-4E15-A9AB-3C2BC8DDD613}"/>
  <tableColumns count="2">
    <tableColumn id="1" xr3:uid="{02D1551C-7A7A-4953-8D5D-F297F7C1970D}" name="Age" dataDxfId="70">
      <calculatedColumnFormula>IF(H3="","",DATEDIF(H3,TODAY(),"Y"))</calculatedColumnFormula>
    </tableColumn>
    <tableColumn id="2" xr3:uid="{99457E34-1EC7-4DF3-A58A-ABF8016D6A4D}" name="Math &amp; Science &gt;80" dataDxfId="69">
      <calculatedColumnFormula>IF(AND(C3&gt;80,D3&gt;80),"Yes","No")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6220F79-ACF2-45FA-B997-975E96983D02}" name="Table15" displayName="Table15" ref="A26:D32" totalsRowShown="0" headerRowDxfId="49" headerRowBorderDxfId="66" tableBorderDxfId="67" totalsRowBorderDxfId="65">
  <autoFilter ref="A26:D32" xr:uid="{B6220F79-ACF2-45FA-B997-975E96983D02}"/>
  <tableColumns count="4">
    <tableColumn id="1" xr3:uid="{49499CF3-D335-4BBC-9004-089B7975BCF6}" name="STUDENT TASK EXAMPLES" dataDxfId="64"/>
    <tableColumn id="2" xr3:uid="{BADFD474-AC83-4BB4-B68B-4236727A4F16}" name="Input / Criteria" dataDxfId="63"/>
    <tableColumn id="3" xr3:uid="{3951CDF4-1334-4D4E-961D-C0BBCAAE4C93}" name="Result" dataDxfId="62"/>
    <tableColumn id="4" xr3:uid="{C6BD4F47-6822-4FD6-8805-A5721B8AAEA6}" name="Notes" dataDxfId="6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C6E075-0CDA-420D-9551-713900715E02}" name="Table16" displayName="Table16" ref="P3:U13" totalsRowShown="0" headerRowDxfId="50" dataDxfId="51" headerRowBorderDxfId="59" tableBorderDxfId="60" totalsRowBorderDxfId="58">
  <autoFilter ref="P3:U13" xr:uid="{31C6E075-0CDA-420D-9551-713900715E02}"/>
  <tableColumns count="6">
    <tableColumn id="1" xr3:uid="{40C8DA93-90B4-4C15-89CE-71FED34E38FB}" name="Student ID" dataDxfId="57"/>
    <tableColumn id="2" xr3:uid="{B956FF00-C4AB-41BA-9A2B-DFBD1A489FFC}" name="Name" dataDxfId="56"/>
    <tableColumn id="3" xr3:uid="{525FA644-559B-4091-A3B0-8BC082DD1D38}" name="Math" dataDxfId="55"/>
    <tableColumn id="4" xr3:uid="{C776B31C-B190-4794-BB95-60937138874A}" name="Science" dataDxfId="54"/>
    <tableColumn id="5" xr3:uid="{F4C1384E-41F8-412A-91E1-0F9B86E54D7E}" name="English" dataDxfId="53"/>
    <tableColumn id="6" xr3:uid="{010DCCD9-9A2D-4C3A-9480-7127DC215284}" name="Enrollment Date" dataDxfId="52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B27EB6-9084-4FE8-BFC9-64C2B836875B}" name="Table18" displayName="Table18" ref="K2:K22" totalsRowShown="0" headerRowDxfId="43" dataDxfId="44" headerRowBorderDxfId="47" tableBorderDxfId="48" totalsRowBorderDxfId="46">
  <autoFilter ref="K2:K22" xr:uid="{07B27EB6-9084-4FE8-BFC9-64C2B836875B}"/>
  <tableColumns count="1">
    <tableColumn id="1" xr3:uid="{F583C2EB-BD3A-4E92-A516-E57546481981}" name="Percentage" dataDxfId="45">
      <calculatedColumnFormula>J3/300*100</calculatedColumnFormula>
    </tableColumn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66B690-84B0-4DB3-A6B4-8A6AF5C04C59}" name="Table4" displayName="Table4" ref="A2:J22" totalsRowShown="0" headerRowDxfId="40" dataDxfId="117" headerRowBorderDxfId="115" tableBorderDxfId="116">
  <autoFilter ref="A2:J22" xr:uid="{7566B690-84B0-4DB3-A6B4-8A6AF5C04C59}"/>
  <tableColumns count="10">
    <tableColumn id="1" xr3:uid="{EE6E73D2-E426-41E1-89FE-06140E7555CA}" name="Column1" dataDxfId="39"/>
    <tableColumn id="2" xr3:uid="{446CC244-FFE4-4EE8-9455-73B2607D4440}" name="Column2" dataDxfId="38"/>
    <tableColumn id="3" xr3:uid="{6D04BBC4-2DBB-4428-A23B-ADDB35F705EF}" name="Column3" dataDxfId="37"/>
    <tableColumn id="4" xr3:uid="{FF2EEAA5-9D90-4C3D-9E9A-E2974196E6A9}" name="Column4" dataDxfId="36"/>
    <tableColumn id="5" xr3:uid="{99ECBD17-DA88-4462-9CFC-6791BCC65AA5}" name="Column5" dataDxfId="35"/>
    <tableColumn id="6" xr3:uid="{40254C8A-31A2-4649-B216-E1CE9A1B2163}" name="Column6" dataDxfId="34"/>
    <tableColumn id="7" xr3:uid="{BA0DF633-8A45-44CD-8A93-BBCE78FC5EF5}" name="Column7" dataDxfId="33"/>
    <tableColumn id="8" xr3:uid="{2FC85FA3-73ED-4C16-AB93-2155A30FB1A8}" name="Column8" dataDxfId="32"/>
    <tableColumn id="9" xr3:uid="{20030F62-CC40-42DE-8426-808E65745D74}" name="Column9" dataDxfId="31"/>
    <tableColumn id="10" xr3:uid="{A6FEC84F-C090-4FDF-AC45-2A5A6F6E19AE}" name="Column10" dataDxfId="30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926851-FDE1-46AD-8CAA-599BD678FF7F}" name="Table5" displayName="Table5" ref="N5:P12" totalsRowShown="0" headerRowBorderDxfId="113" tableBorderDxfId="114">
  <autoFilter ref="N5:P12" xr:uid="{02926851-FDE1-46AD-8CAA-599BD678FF7F}"/>
  <tableColumns count="3">
    <tableColumn id="1" xr3:uid="{00700CFB-AF74-45AA-A830-389F3BE4A95A}" name="Column1" dataDxfId="29"/>
    <tableColumn id="2" xr3:uid="{A125EBC6-BBC8-456C-A287-3D6869A3BD01}" name="Column2" dataDxfId="28">
      <calculatedColumnFormula>' SALES DATA '!F16</calculatedColumnFormula>
    </tableColumn>
    <tableColumn id="3" xr3:uid="{C3E5987D-3331-4667-A73C-7A1666FEE605}" name="Column3" dataDxfId="27"/>
  </tableColumns>
  <tableStyleInfo name="TableStyleLight2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5841F7-3723-4E06-A666-C8780FCFB3E8}" name="Table6" displayName="Table6" ref="A25:E35" totalsRowShown="0" headerRowDxfId="109" dataDxfId="110" headerRowBorderDxfId="111" tableBorderDxfId="112">
  <autoFilter ref="A25:E35" xr:uid="{385841F7-3723-4E06-A666-C8780FCFB3E8}"/>
  <tableColumns count="5">
    <tableColumn id="1" xr3:uid="{31C40156-B62E-43EC-85C1-8E942DD3E79A}" name="Column1" dataDxfId="20"/>
    <tableColumn id="2" xr3:uid="{A93CB59F-55EF-41E3-BD7C-115C1DC824FD}" name="Column2" dataDxfId="19"/>
    <tableColumn id="3" xr3:uid="{A79ED13D-28EE-4B91-8C87-C89183F4146E}" name="Column3" dataDxfId="18"/>
    <tableColumn id="4" xr3:uid="{E28A72FC-E845-466C-A9E3-78DE47D762B9}" name="Column4" dataDxfId="17"/>
    <tableColumn id="5" xr3:uid="{3F6BEFC1-815D-43F0-A1A7-88CCD9D3C7B2}" name="Column5" dataDxfId="16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B5F959-BC41-4F35-A09B-0BA4BD022452}" name="Table7" displayName="Table7" ref="N17:S19" totalsRowShown="0" headerRowDxfId="105" dataDxfId="106" headerRowBorderDxfId="107" tableBorderDxfId="108">
  <autoFilter ref="N17:S19" xr:uid="{A8B5F959-BC41-4F35-A09B-0BA4BD022452}"/>
  <tableColumns count="6">
    <tableColumn id="1" xr3:uid="{AD338BF0-AA4B-4A66-AC73-B33A525314D9}" name="Sales ID" dataDxfId="26"/>
    <tableColumn id="2" xr3:uid="{15566BBE-BF21-44D8-AC11-9445913D119C}" name="Product Code" dataDxfId="25"/>
    <tableColumn id="3" xr3:uid="{94F63D15-11C3-4435-9BC7-23174E744344}" name="Product" dataDxfId="24"/>
    <tableColumn id="4" xr3:uid="{597A76C1-CAB7-402C-942F-01297E1F2C23}" name="Region" dataDxfId="23"/>
    <tableColumn id="5" xr3:uid="{2B31C4B4-5508-47CF-887C-10443E48F260}" name="Salesperson" dataDxfId="22"/>
    <tableColumn id="6" xr3:uid="{10DD139D-A04A-4B7F-9029-7A63E937365D}" name="Amount" dataDxfId="21"/>
  </tableColumns>
  <tableStyleInfo name="TableStyleMedium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6EF3A2-06D8-4296-92F8-ABF3BB0D8169}" name="Table9" displayName="Table9" ref="A1:I21" totalsRowShown="0" headerRowDxfId="102" dataDxfId="93" headerRowBorderDxfId="103" tableBorderDxfId="104">
  <autoFilter ref="A1:I21" xr:uid="{696EF3A2-06D8-4296-92F8-ABF3BB0D8169}"/>
  <tableColumns count="9">
    <tableColumn id="1" xr3:uid="{A32D0CA9-CE2D-4199-ADE9-298D77AF5804}" name="Employee ID" dataDxfId="15"/>
    <tableColumn id="2" xr3:uid="{D9F1B123-D4AF-4D58-9054-1AFB137528E9}" name="Name" dataDxfId="14"/>
    <tableColumn id="3" xr3:uid="{845CA206-4223-4EF2-AC89-4E650CDFC9C8}" name="Department" dataDxfId="13"/>
    <tableColumn id="4" xr3:uid="{C4179809-9BA4-4662-8AB0-2E66CEF7BAF8}" name="Salary" dataDxfId="12"/>
    <tableColumn id="5" xr3:uid="{D1E50755-D740-441F-852F-AAA4049DAEE3}" name="Joining Date" dataDxfId="11"/>
    <tableColumn id="6" xr3:uid="{FC3C0359-D41F-4A3E-831C-FD5698A7AE41}" name="Days Since Joining" dataDxfId="10">
      <calculatedColumnFormula>IF(E2&gt;TODAY(),"Not joined yet",TODAY()-E2)</calculatedColumnFormula>
    </tableColumn>
    <tableColumn id="7" xr3:uid="{7B48F886-1B2C-40D0-9982-7DBB3AAD3546}" name="First Name" dataDxfId="9">
      <calculatedColumnFormula>LEFT(B2,FIND(" ",B2&amp;" ")-1)</calculatedColumnFormula>
    </tableColumn>
    <tableColumn id="8" xr3:uid="{3ADDB84B-D1DD-471A-9118-0E4343CC9849}" name="UPPER Name" dataDxfId="8">
      <calculatedColumnFormula>UPPER(B2)</calculatedColumnFormula>
    </tableColumn>
    <tableColumn id="9" xr3:uid="{06C97433-C7C8-40A2-8D33-CB338B2BD73A}" name="lower Name" dataDxfId="7">
      <calculatedColumnFormula>LOWER(B2)</calculatedColumnFormula>
    </tableColumn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EA8D36-0FED-48BB-BAB5-B63E0DEFDA29}" name="Table10" displayName="Table10" ref="A25:D28" totalsRowShown="0" headerRowDxfId="87" dataDxfId="92" tableBorderDxfId="94">
  <autoFilter ref="A25:D28" xr:uid="{2DEA8D36-0FED-48BB-BAB5-B63E0DEFDA29}"/>
  <tableColumns count="4">
    <tableColumn id="1" xr3:uid="{F76AE94D-7273-4243-B0A3-B1CD560A5F6E}" name="EMPLOYEE TASK EXAMPLES" dataDxfId="0"/>
    <tableColumn id="2" xr3:uid="{A70A8762-8875-4055-80A9-6F290C595579}" name="Input" dataDxfId="3"/>
    <tableColumn id="3" xr3:uid="{3B24E48F-B3CF-42E0-874F-26C9AA887007}" name="Result" dataDxfId="2"/>
    <tableColumn id="4" xr3:uid="{E78DBB60-AA22-4BCA-9D0C-BF2067ED9529}" name="Notes" dataDxfId="1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CCEEBC5-11EA-4850-90EC-B9D83818AF0A}" name="Table11" displayName="Table11" ref="G25:K46" totalsRowShown="0" headerRowDxfId="86" dataDxfId="95" tableBorderDxfId="101">
  <autoFilter ref="G25:K46" xr:uid="{7CCEEBC5-11EA-4850-90EC-B9D83818AF0A}"/>
  <tableColumns count="5">
    <tableColumn id="1" xr3:uid="{02811DF4-54A8-41C1-89AB-8F23C074C3A5}" name="Employee text-function preview" dataDxfId="100"/>
    <tableColumn id="2" xr3:uid="{A16093ED-39B2-4BBC-8B28-97F7197E777E}" name="Column1" dataDxfId="99"/>
    <tableColumn id="3" xr3:uid="{3CFA7F62-6E4D-4CC4-8964-F6742CE361DF}" name="Column2" dataDxfId="98">
      <calculatedColumnFormula>C10</calculatedColumnFormula>
    </tableColumn>
    <tableColumn id="4" xr3:uid="{341B002F-E366-4DB2-A565-A146CEDD2E86}" name="Column3" dataDxfId="97">
      <calculatedColumnFormula>D10</calculatedColumnFormula>
    </tableColumn>
    <tableColumn id="5" xr3:uid="{615C145A-CA90-43CC-9BC1-427DA4B51DC3}" name="Column4" dataDxfId="96">
      <calculatedColumnFormula>E10</calculatedColumnFormula>
    </tableColumn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103D00A-311D-45AD-9081-10D42F49B079}" name="Table12" displayName="Table12" ref="K3:M8" totalsRowShown="0" headerRowDxfId="89" dataDxfId="88" headerRowBorderDxfId="90" tableBorderDxfId="91">
  <autoFilter ref="K3:M8" xr:uid="{0103D00A-311D-45AD-9081-10D42F49B079}"/>
  <tableColumns count="3">
    <tableColumn id="1" xr3:uid="{6325B34E-E7E8-499C-939B-9A212F3D818D}" name="Task" dataDxfId="6"/>
    <tableColumn id="2" xr3:uid="{488DAAE9-A0C9-4A21-AAA6-B24EBE731ECF}" name="Answer" dataDxfId="5"/>
    <tableColumn id="3" xr3:uid="{99D92BD9-A456-4372-998B-4357C2E7A495}" name="Details" dataDxf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8B0D-955E-4B61-A555-DE1DDCC76337}">
  <dimension ref="A1:W32"/>
  <sheetViews>
    <sheetView tabSelected="1" topLeftCell="B20" zoomScale="78" workbookViewId="0">
      <selection activeCell="C27" sqref="C27"/>
    </sheetView>
  </sheetViews>
  <sheetFormatPr defaultRowHeight="15" x14ac:dyDescent="0.25"/>
  <cols>
    <col min="1" max="1" width="24.7109375" customWidth="1"/>
    <col min="2" max="2" width="16.85546875" customWidth="1"/>
    <col min="3" max="3" width="12.140625" customWidth="1"/>
    <col min="4" max="4" width="20.7109375" customWidth="1"/>
    <col min="6" max="6" width="17.28515625" customWidth="1"/>
    <col min="7" max="7" width="15.5703125" customWidth="1"/>
    <col min="8" max="8" width="15.85546875" customWidth="1"/>
    <col min="9" max="9" width="15.42578125" customWidth="1"/>
    <col min="10" max="10" width="14.42578125" customWidth="1"/>
    <col min="11" max="11" width="13" customWidth="1"/>
    <col min="12" max="12" width="13.28515625" customWidth="1"/>
    <col min="13" max="13" width="24.140625" customWidth="1"/>
    <col min="16" max="16" width="12.28515625" customWidth="1"/>
    <col min="17" max="17" width="12.7109375" customWidth="1"/>
    <col min="18" max="18" width="12.85546875" customWidth="1"/>
    <col min="19" max="19" width="9.85546875" customWidth="1"/>
    <col min="20" max="20" width="16.5703125" bestFit="1" customWidth="1"/>
    <col min="21" max="21" width="17.28515625" customWidth="1"/>
    <col min="22" max="22" width="9.28515625" bestFit="1" customWidth="1"/>
    <col min="23" max="23" width="15.140625" customWidth="1"/>
  </cols>
  <sheetData>
    <row r="1" spans="1:21" ht="19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1" ht="15.75" x14ac:dyDescent="0.25">
      <c r="A2" s="27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9" t="s">
        <v>10</v>
      </c>
      <c r="K2" s="55" t="s">
        <v>11</v>
      </c>
      <c r="L2" s="30" t="s">
        <v>12</v>
      </c>
      <c r="M2" s="31" t="s">
        <v>13</v>
      </c>
      <c r="P2" s="48" t="s">
        <v>53</v>
      </c>
      <c r="Q2" s="49"/>
      <c r="R2" s="49"/>
      <c r="S2" s="49"/>
      <c r="T2" s="49"/>
      <c r="U2" s="49"/>
    </row>
    <row r="3" spans="1:21" ht="20.25" customHeight="1" x14ac:dyDescent="0.25">
      <c r="A3" s="23">
        <v>1001</v>
      </c>
      <c r="B3" s="24" t="s">
        <v>14</v>
      </c>
      <c r="C3" s="24">
        <v>61</v>
      </c>
      <c r="D3" s="24">
        <v>48</v>
      </c>
      <c r="E3" s="24">
        <v>76</v>
      </c>
      <c r="F3" s="25">
        <v>43101</v>
      </c>
      <c r="G3" s="24" t="str">
        <f t="shared" ref="G3:G22" si="0">IF(C3&gt;=80,"A",IF(C3&gt;=60,"B",IF(C3&gt;=40,"C","Fail")))</f>
        <v>B</v>
      </c>
      <c r="H3" s="57">
        <v>38579</v>
      </c>
      <c r="I3" s="24" t="str">
        <f t="shared" ref="I3:I22" si="1">IF(C3&gt;80,"Top Student","Normal")</f>
        <v>Normal</v>
      </c>
      <c r="J3" s="26">
        <f t="shared" ref="J3:J22" si="2">SUM(C3:E3)</f>
        <v>185</v>
      </c>
      <c r="K3" s="56">
        <f>J3/300*100</f>
        <v>61.666666666666671</v>
      </c>
      <c r="L3" s="21">
        <f t="shared" ref="L3:L22" ca="1" si="3">IF(H3="","",DATEDIF(H3,TODAY(),"Y"))</f>
        <v>21</v>
      </c>
      <c r="M3" s="22" t="str">
        <f>IF(AND(C3&gt;80,D3&gt;80),"Yes","No")</f>
        <v>No</v>
      </c>
      <c r="P3" s="42" t="s">
        <v>1</v>
      </c>
      <c r="Q3" s="43" t="s">
        <v>2</v>
      </c>
      <c r="R3" s="43" t="s">
        <v>3</v>
      </c>
      <c r="S3" s="43" t="s">
        <v>4</v>
      </c>
      <c r="T3" s="43" t="s">
        <v>5</v>
      </c>
      <c r="U3" s="44" t="s">
        <v>6</v>
      </c>
    </row>
    <row r="4" spans="1:21" ht="20.25" customHeight="1" x14ac:dyDescent="0.25">
      <c r="A4" s="23">
        <v>1002</v>
      </c>
      <c r="B4" s="24" t="s">
        <v>15</v>
      </c>
      <c r="C4" s="24">
        <v>78</v>
      </c>
      <c r="D4" s="24">
        <v>76</v>
      </c>
      <c r="E4" s="24">
        <v>70</v>
      </c>
      <c r="F4" s="25">
        <v>43281</v>
      </c>
      <c r="G4" s="24" t="str">
        <f t="shared" si="0"/>
        <v>B</v>
      </c>
      <c r="H4" s="57">
        <v>38770</v>
      </c>
      <c r="I4" s="24" t="str">
        <f>IF(C4&gt;80,"Top Student","Normal")</f>
        <v>Normal</v>
      </c>
      <c r="J4" s="26">
        <f t="shared" si="2"/>
        <v>224</v>
      </c>
      <c r="K4" s="53">
        <f>J4/300*100</f>
        <v>74.666666666666671</v>
      </c>
      <c r="L4" s="21">
        <f t="shared" ca="1" si="3"/>
        <v>20</v>
      </c>
      <c r="M4" s="22" t="str">
        <f t="shared" ref="M4:M22" si="4">IF(AND(C4&gt;80,D4&gt;80),"Yes","No")</f>
        <v>No</v>
      </c>
      <c r="P4" s="40">
        <v>1003</v>
      </c>
      <c r="Q4" s="5" t="s">
        <v>16</v>
      </c>
      <c r="R4" s="5">
        <v>97</v>
      </c>
      <c r="S4" s="5">
        <v>60</v>
      </c>
      <c r="T4" s="5">
        <v>51</v>
      </c>
      <c r="U4" s="41">
        <v>43461</v>
      </c>
    </row>
    <row r="5" spans="1:21" ht="20.25" customHeight="1" x14ac:dyDescent="0.25">
      <c r="A5" s="23">
        <v>1003</v>
      </c>
      <c r="B5" s="24" t="s">
        <v>16</v>
      </c>
      <c r="C5" s="24">
        <v>97</v>
      </c>
      <c r="D5" s="24">
        <v>60</v>
      </c>
      <c r="E5" s="24">
        <v>51</v>
      </c>
      <c r="F5" s="25">
        <v>43461</v>
      </c>
      <c r="G5" s="24" t="str">
        <f t="shared" si="0"/>
        <v>A</v>
      </c>
      <c r="H5" s="57">
        <v>38301</v>
      </c>
      <c r="I5" s="24" t="str">
        <f t="shared" si="1"/>
        <v>Top Student</v>
      </c>
      <c r="J5" s="26">
        <f t="shared" si="2"/>
        <v>208</v>
      </c>
      <c r="K5" s="53">
        <f>J5/300*100</f>
        <v>69.333333333333343</v>
      </c>
      <c r="L5" s="21">
        <f t="shared" ca="1" si="3"/>
        <v>21</v>
      </c>
      <c r="M5" s="22" t="str">
        <f t="shared" si="4"/>
        <v>No</v>
      </c>
      <c r="P5" s="40">
        <v>1008</v>
      </c>
      <c r="Q5" s="5" t="s">
        <v>21</v>
      </c>
      <c r="R5" s="5">
        <v>94</v>
      </c>
      <c r="S5" s="5">
        <v>67</v>
      </c>
      <c r="T5" s="5">
        <v>64</v>
      </c>
      <c r="U5" s="41">
        <v>44361</v>
      </c>
    </row>
    <row r="6" spans="1:21" ht="20.25" customHeight="1" x14ac:dyDescent="0.25">
      <c r="A6" s="23">
        <v>1004</v>
      </c>
      <c r="B6" s="24" t="s">
        <v>17</v>
      </c>
      <c r="C6" s="24">
        <v>74</v>
      </c>
      <c r="D6" s="24">
        <v>55</v>
      </c>
      <c r="E6" s="24">
        <v>46</v>
      </c>
      <c r="F6" s="25">
        <v>43641</v>
      </c>
      <c r="G6" s="24" t="str">
        <f t="shared" si="0"/>
        <v>B</v>
      </c>
      <c r="H6" s="57">
        <v>38477</v>
      </c>
      <c r="I6" s="24" t="str">
        <f>IF(C6&gt;80,"Top Student","Normal")</f>
        <v>Normal</v>
      </c>
      <c r="J6" s="26">
        <f t="shared" si="2"/>
        <v>175</v>
      </c>
      <c r="K6" s="53">
        <f>J6/300*100</f>
        <v>58.333333333333336</v>
      </c>
      <c r="L6" s="21">
        <f t="shared" ca="1" si="3"/>
        <v>21</v>
      </c>
      <c r="M6" s="22" t="str">
        <f t="shared" si="4"/>
        <v>No</v>
      </c>
      <c r="P6" s="40">
        <v>1010</v>
      </c>
      <c r="Q6" s="5" t="s">
        <v>23</v>
      </c>
      <c r="R6" s="5">
        <v>98</v>
      </c>
      <c r="S6" s="5">
        <v>54</v>
      </c>
      <c r="T6" s="5">
        <v>58</v>
      </c>
      <c r="U6" s="41">
        <v>44721</v>
      </c>
    </row>
    <row r="7" spans="1:21" ht="20.25" customHeight="1" x14ac:dyDescent="0.25">
      <c r="A7" s="23">
        <v>1005</v>
      </c>
      <c r="B7" s="24" t="s">
        <v>18</v>
      </c>
      <c r="C7" s="24">
        <v>68</v>
      </c>
      <c r="D7" s="24">
        <v>74</v>
      </c>
      <c r="E7" s="24">
        <v>84</v>
      </c>
      <c r="F7" s="25">
        <v>43821</v>
      </c>
      <c r="G7" s="24" t="str">
        <f t="shared" si="0"/>
        <v>B</v>
      </c>
      <c r="H7" s="57">
        <v>39069</v>
      </c>
      <c r="I7" s="24" t="str">
        <f t="shared" si="1"/>
        <v>Normal</v>
      </c>
      <c r="J7" s="26">
        <f t="shared" si="2"/>
        <v>226</v>
      </c>
      <c r="K7" s="53">
        <f>J7/300*100</f>
        <v>75.333333333333329</v>
      </c>
      <c r="L7" s="21">
        <f t="shared" ca="1" si="3"/>
        <v>19</v>
      </c>
      <c r="M7" s="22" t="str">
        <f t="shared" si="4"/>
        <v>No</v>
      </c>
      <c r="P7" s="40">
        <v>1012</v>
      </c>
      <c r="Q7" s="5" t="s">
        <v>25</v>
      </c>
      <c r="R7" s="5">
        <v>85</v>
      </c>
      <c r="S7" s="5">
        <v>89</v>
      </c>
      <c r="T7" s="5">
        <v>79</v>
      </c>
      <c r="U7" s="41">
        <v>45081</v>
      </c>
    </row>
    <row r="8" spans="1:21" ht="20.25" customHeight="1" x14ac:dyDescent="0.25">
      <c r="A8" s="23">
        <v>1006</v>
      </c>
      <c r="B8" s="24" t="s">
        <v>19</v>
      </c>
      <c r="C8" s="24">
        <v>80</v>
      </c>
      <c r="D8" s="24">
        <v>70</v>
      </c>
      <c r="E8" s="24">
        <v>65</v>
      </c>
      <c r="F8" s="25">
        <v>44001</v>
      </c>
      <c r="G8" s="24" t="str">
        <f t="shared" si="0"/>
        <v>A</v>
      </c>
      <c r="H8" s="57">
        <v>38542</v>
      </c>
      <c r="I8" s="24" t="str">
        <f t="shared" si="1"/>
        <v>Normal</v>
      </c>
      <c r="J8" s="26">
        <f t="shared" si="2"/>
        <v>215</v>
      </c>
      <c r="K8" s="53">
        <f>J8/300*100</f>
        <v>71.666666666666671</v>
      </c>
      <c r="L8" s="21">
        <f t="shared" ca="1" si="3"/>
        <v>21</v>
      </c>
      <c r="M8" s="22" t="str">
        <f t="shared" si="4"/>
        <v>No</v>
      </c>
      <c r="P8" s="40">
        <v>1013</v>
      </c>
      <c r="Q8" s="5" t="s">
        <v>26</v>
      </c>
      <c r="R8" s="5">
        <v>98</v>
      </c>
      <c r="S8" s="5">
        <v>90</v>
      </c>
      <c r="T8" s="5">
        <v>97</v>
      </c>
      <c r="U8" s="41">
        <v>45261</v>
      </c>
    </row>
    <row r="9" spans="1:21" ht="20.25" customHeight="1" x14ac:dyDescent="0.25">
      <c r="A9" s="23">
        <v>1007</v>
      </c>
      <c r="B9" s="24" t="s">
        <v>20</v>
      </c>
      <c r="C9" s="24">
        <v>75</v>
      </c>
      <c r="D9" s="24">
        <v>47</v>
      </c>
      <c r="E9" s="24">
        <v>78</v>
      </c>
      <c r="F9" s="25">
        <v>44181</v>
      </c>
      <c r="G9" s="24" t="str">
        <f t="shared" si="0"/>
        <v>B</v>
      </c>
      <c r="H9" s="57">
        <v>38073</v>
      </c>
      <c r="I9" s="24" t="str">
        <f t="shared" si="1"/>
        <v>Normal</v>
      </c>
      <c r="J9" s="26">
        <f t="shared" si="2"/>
        <v>200</v>
      </c>
      <c r="K9" s="53">
        <f>J9/300*100</f>
        <v>66.666666666666657</v>
      </c>
      <c r="L9" s="21">
        <f t="shared" ca="1" si="3"/>
        <v>22</v>
      </c>
      <c r="M9" s="22" t="str">
        <f t="shared" si="4"/>
        <v>No</v>
      </c>
      <c r="P9" s="40">
        <v>1014</v>
      </c>
      <c r="Q9" s="5" t="s">
        <v>27</v>
      </c>
      <c r="R9" s="5">
        <v>93</v>
      </c>
      <c r="S9" s="5">
        <v>40</v>
      </c>
      <c r="T9" s="5">
        <v>44</v>
      </c>
      <c r="U9" s="41">
        <v>45441</v>
      </c>
    </row>
    <row r="10" spans="1:21" ht="20.25" customHeight="1" x14ac:dyDescent="0.25">
      <c r="A10" s="23">
        <v>1008</v>
      </c>
      <c r="B10" s="24" t="s">
        <v>21</v>
      </c>
      <c r="C10" s="24">
        <v>94</v>
      </c>
      <c r="D10" s="24">
        <v>67</v>
      </c>
      <c r="E10" s="24">
        <v>64</v>
      </c>
      <c r="F10" s="25">
        <v>44361</v>
      </c>
      <c r="G10" s="24" t="str">
        <f t="shared" si="0"/>
        <v>A</v>
      </c>
      <c r="H10" s="57">
        <v>38729</v>
      </c>
      <c r="I10" s="24" t="str">
        <f t="shared" si="1"/>
        <v>Top Student</v>
      </c>
      <c r="J10" s="26">
        <f t="shared" si="2"/>
        <v>225</v>
      </c>
      <c r="K10" s="53">
        <f>J10/300*100</f>
        <v>75</v>
      </c>
      <c r="L10" s="21">
        <f t="shared" ca="1" si="3"/>
        <v>20</v>
      </c>
      <c r="M10" s="22" t="str">
        <f t="shared" si="4"/>
        <v>No</v>
      </c>
      <c r="P10" s="40">
        <v>1016</v>
      </c>
      <c r="Q10" s="5" t="s">
        <v>29</v>
      </c>
      <c r="R10" s="5">
        <v>98</v>
      </c>
      <c r="S10" s="5">
        <v>77</v>
      </c>
      <c r="T10" s="5">
        <v>60</v>
      </c>
      <c r="U10" s="41">
        <v>45801</v>
      </c>
    </row>
    <row r="11" spans="1:21" ht="20.25" customHeight="1" x14ac:dyDescent="0.25">
      <c r="A11" s="23">
        <v>1009</v>
      </c>
      <c r="B11" s="24" t="s">
        <v>22</v>
      </c>
      <c r="C11" s="24">
        <v>41</v>
      </c>
      <c r="D11" s="24">
        <v>75</v>
      </c>
      <c r="E11" s="24">
        <v>56</v>
      </c>
      <c r="F11" s="25">
        <v>44541</v>
      </c>
      <c r="G11" s="24" t="str">
        <f t="shared" si="0"/>
        <v>C</v>
      </c>
      <c r="H11" s="57">
        <v>38625</v>
      </c>
      <c r="I11" s="24" t="str">
        <f t="shared" si="1"/>
        <v>Normal</v>
      </c>
      <c r="J11" s="26">
        <f t="shared" si="2"/>
        <v>172</v>
      </c>
      <c r="K11" s="53">
        <f>J11/300*100</f>
        <v>57.333333333333336</v>
      </c>
      <c r="L11" s="21">
        <f t="shared" ca="1" si="3"/>
        <v>21</v>
      </c>
      <c r="M11" s="22" t="str">
        <f t="shared" si="4"/>
        <v>No</v>
      </c>
      <c r="P11" s="40">
        <v>1018</v>
      </c>
      <c r="Q11" s="5" t="s">
        <v>31</v>
      </c>
      <c r="R11" s="5">
        <v>82</v>
      </c>
      <c r="S11" s="5">
        <v>48</v>
      </c>
      <c r="T11" s="5">
        <v>79</v>
      </c>
      <c r="U11" s="41">
        <v>46161</v>
      </c>
    </row>
    <row r="12" spans="1:21" ht="20.25" customHeight="1" x14ac:dyDescent="0.25">
      <c r="A12" s="23">
        <v>1010</v>
      </c>
      <c r="B12" s="24" t="s">
        <v>23</v>
      </c>
      <c r="C12" s="24">
        <v>98</v>
      </c>
      <c r="D12" s="24">
        <v>54</v>
      </c>
      <c r="E12" s="24">
        <v>58</v>
      </c>
      <c r="F12" s="25">
        <v>44721</v>
      </c>
      <c r="G12" s="24" t="str">
        <f t="shared" si="0"/>
        <v>A</v>
      </c>
      <c r="H12" s="57">
        <v>38091</v>
      </c>
      <c r="I12" s="24" t="str">
        <f t="shared" si="1"/>
        <v>Top Student</v>
      </c>
      <c r="J12" s="26">
        <f t="shared" si="2"/>
        <v>210</v>
      </c>
      <c r="K12" s="53">
        <f>J12/300*100</f>
        <v>70</v>
      </c>
      <c r="L12" s="21">
        <f t="shared" ca="1" si="3"/>
        <v>22</v>
      </c>
      <c r="M12" s="22" t="str">
        <f t="shared" si="4"/>
        <v>No</v>
      </c>
      <c r="P12" s="40">
        <v>1019</v>
      </c>
      <c r="Q12" s="5" t="s">
        <v>32</v>
      </c>
      <c r="R12" s="5">
        <v>90</v>
      </c>
      <c r="S12" s="5">
        <v>78</v>
      </c>
      <c r="T12" s="5">
        <v>60</v>
      </c>
      <c r="U12" s="41">
        <v>46341</v>
      </c>
    </row>
    <row r="13" spans="1:21" ht="20.25" customHeight="1" x14ac:dyDescent="0.25">
      <c r="A13" s="23">
        <v>1011</v>
      </c>
      <c r="B13" s="24" t="s">
        <v>24</v>
      </c>
      <c r="C13" s="24">
        <v>73</v>
      </c>
      <c r="D13" s="24">
        <v>79</v>
      </c>
      <c r="E13" s="24">
        <v>53</v>
      </c>
      <c r="F13" s="25">
        <v>44901</v>
      </c>
      <c r="G13" s="24" t="str">
        <f t="shared" si="0"/>
        <v>B</v>
      </c>
      <c r="H13" s="57">
        <v>38876</v>
      </c>
      <c r="I13" s="24" t="str">
        <f t="shared" si="1"/>
        <v>Normal</v>
      </c>
      <c r="J13" s="26">
        <f t="shared" si="2"/>
        <v>205</v>
      </c>
      <c r="K13" s="53">
        <f>J13/300*100</f>
        <v>68.333333333333329</v>
      </c>
      <c r="L13" s="21">
        <f t="shared" ca="1" si="3"/>
        <v>20</v>
      </c>
      <c r="M13" s="22" t="str">
        <f t="shared" si="4"/>
        <v>No</v>
      </c>
      <c r="P13" s="45">
        <v>1020</v>
      </c>
      <c r="Q13" s="46" t="s">
        <v>33</v>
      </c>
      <c r="R13" s="46">
        <v>83</v>
      </c>
      <c r="S13" s="46">
        <v>92</v>
      </c>
      <c r="T13" s="46">
        <v>55</v>
      </c>
      <c r="U13" s="47">
        <v>46521</v>
      </c>
    </row>
    <row r="14" spans="1:21" ht="18.75" customHeight="1" x14ac:dyDescent="0.25">
      <c r="A14" s="23">
        <v>1012</v>
      </c>
      <c r="B14" s="24" t="s">
        <v>25</v>
      </c>
      <c r="C14" s="24">
        <v>85</v>
      </c>
      <c r="D14" s="24">
        <v>89</v>
      </c>
      <c r="E14" s="24">
        <v>79</v>
      </c>
      <c r="F14" s="25">
        <v>45081</v>
      </c>
      <c r="G14" s="24" t="str">
        <f t="shared" si="0"/>
        <v>A</v>
      </c>
      <c r="H14" s="57">
        <v>38650</v>
      </c>
      <c r="I14" s="24" t="str">
        <f t="shared" si="1"/>
        <v>Top Student</v>
      </c>
      <c r="J14" s="26">
        <f t="shared" si="2"/>
        <v>253</v>
      </c>
      <c r="K14" s="53">
        <f>J14/300*100</f>
        <v>84.333333333333343</v>
      </c>
      <c r="L14" s="21">
        <f t="shared" ca="1" si="3"/>
        <v>20</v>
      </c>
      <c r="M14" s="22" t="str">
        <f t="shared" si="4"/>
        <v>Yes</v>
      </c>
    </row>
    <row r="15" spans="1:21" ht="19.5" customHeight="1" x14ac:dyDescent="0.25">
      <c r="A15" s="23">
        <v>1013</v>
      </c>
      <c r="B15" s="24" t="s">
        <v>26</v>
      </c>
      <c r="C15" s="24">
        <v>98</v>
      </c>
      <c r="D15" s="24">
        <v>90</v>
      </c>
      <c r="E15" s="24">
        <v>97</v>
      </c>
      <c r="F15" s="25">
        <v>45261</v>
      </c>
      <c r="G15" s="24" t="str">
        <f t="shared" si="0"/>
        <v>A</v>
      </c>
      <c r="H15" s="57">
        <v>38020</v>
      </c>
      <c r="I15" s="24" t="str">
        <f t="shared" si="1"/>
        <v>Top Student</v>
      </c>
      <c r="J15" s="26">
        <f t="shared" si="2"/>
        <v>285</v>
      </c>
      <c r="K15" s="53">
        <f>J15/300*100</f>
        <v>95</v>
      </c>
      <c r="L15" s="21">
        <f t="shared" ca="1" si="3"/>
        <v>22</v>
      </c>
      <c r="M15" s="22" t="str">
        <f t="shared" si="4"/>
        <v>Yes</v>
      </c>
    </row>
    <row r="16" spans="1:21" ht="19.5" customHeight="1" x14ac:dyDescent="0.25">
      <c r="A16" s="23">
        <v>1014</v>
      </c>
      <c r="B16" s="24" t="s">
        <v>27</v>
      </c>
      <c r="C16" s="24">
        <v>93</v>
      </c>
      <c r="D16" s="24">
        <v>40</v>
      </c>
      <c r="E16" s="24">
        <v>44</v>
      </c>
      <c r="F16" s="25">
        <v>45441</v>
      </c>
      <c r="G16" s="24" t="str">
        <f t="shared" si="0"/>
        <v>A</v>
      </c>
      <c r="H16" s="57">
        <v>38552</v>
      </c>
      <c r="I16" s="24" t="str">
        <f t="shared" si="1"/>
        <v>Top Student</v>
      </c>
      <c r="J16" s="26">
        <f t="shared" si="2"/>
        <v>177</v>
      </c>
      <c r="K16" s="53">
        <f>J16/300*100</f>
        <v>59</v>
      </c>
      <c r="L16" s="21">
        <f t="shared" ca="1" si="3"/>
        <v>21</v>
      </c>
      <c r="M16" s="22" t="str">
        <f t="shared" si="4"/>
        <v>No</v>
      </c>
    </row>
    <row r="17" spans="1:23" ht="19.5" customHeight="1" x14ac:dyDescent="0.25">
      <c r="A17" s="23">
        <v>1015</v>
      </c>
      <c r="B17" s="24" t="s">
        <v>28</v>
      </c>
      <c r="C17" s="24">
        <v>70</v>
      </c>
      <c r="D17" s="24">
        <v>51</v>
      </c>
      <c r="E17" s="24">
        <v>75</v>
      </c>
      <c r="F17" s="25">
        <v>45621</v>
      </c>
      <c r="G17" s="24" t="str">
        <f t="shared" si="0"/>
        <v>B</v>
      </c>
      <c r="H17" s="57">
        <v>39062</v>
      </c>
      <c r="I17" s="24" t="str">
        <f t="shared" si="1"/>
        <v>Normal</v>
      </c>
      <c r="J17" s="26">
        <f t="shared" si="2"/>
        <v>196</v>
      </c>
      <c r="K17" s="53">
        <f>J17/300*100</f>
        <v>65.333333333333329</v>
      </c>
      <c r="L17" s="21">
        <f t="shared" ca="1" si="3"/>
        <v>19</v>
      </c>
      <c r="M17" s="22" t="str">
        <f t="shared" si="4"/>
        <v>No</v>
      </c>
    </row>
    <row r="18" spans="1:23" ht="19.5" customHeight="1" x14ac:dyDescent="0.25">
      <c r="A18" s="23">
        <v>1016</v>
      </c>
      <c r="B18" s="24" t="s">
        <v>29</v>
      </c>
      <c r="C18" s="24">
        <v>98</v>
      </c>
      <c r="D18" s="24">
        <v>77</v>
      </c>
      <c r="E18" s="24">
        <v>60</v>
      </c>
      <c r="F18" s="25">
        <v>45801</v>
      </c>
      <c r="G18" s="24" t="str">
        <f t="shared" si="0"/>
        <v>A</v>
      </c>
      <c r="H18" s="57">
        <v>38052</v>
      </c>
      <c r="I18" s="24" t="str">
        <f t="shared" si="1"/>
        <v>Top Student</v>
      </c>
      <c r="J18" s="26">
        <f t="shared" si="2"/>
        <v>235</v>
      </c>
      <c r="K18" s="53">
        <f>J18/300*100</f>
        <v>78.333333333333329</v>
      </c>
      <c r="L18" s="21">
        <f t="shared" ca="1" si="3"/>
        <v>22</v>
      </c>
      <c r="M18" s="22" t="str">
        <f t="shared" si="4"/>
        <v>No</v>
      </c>
      <c r="W18" t="s">
        <v>207</v>
      </c>
    </row>
    <row r="19" spans="1:23" ht="19.5" customHeight="1" x14ac:dyDescent="0.25">
      <c r="A19" s="23">
        <v>1017</v>
      </c>
      <c r="B19" s="24" t="s">
        <v>30</v>
      </c>
      <c r="C19" s="24">
        <v>66</v>
      </c>
      <c r="D19" s="24">
        <v>59</v>
      </c>
      <c r="E19" s="24">
        <v>40</v>
      </c>
      <c r="F19" s="25">
        <v>45981</v>
      </c>
      <c r="G19" s="24" t="str">
        <f t="shared" si="0"/>
        <v>B</v>
      </c>
      <c r="H19" s="57">
        <v>38493</v>
      </c>
      <c r="I19" s="24" t="str">
        <f t="shared" si="1"/>
        <v>Normal</v>
      </c>
      <c r="J19" s="26">
        <f t="shared" si="2"/>
        <v>165</v>
      </c>
      <c r="K19" s="53">
        <f>J19/300*100</f>
        <v>55.000000000000007</v>
      </c>
      <c r="L19" s="21">
        <f t="shared" ca="1" si="3"/>
        <v>21</v>
      </c>
      <c r="M19" s="22" t="str">
        <f t="shared" si="4"/>
        <v>No</v>
      </c>
    </row>
    <row r="20" spans="1:23" ht="19.5" customHeight="1" x14ac:dyDescent="0.25">
      <c r="A20" s="23">
        <v>1018</v>
      </c>
      <c r="B20" s="24" t="s">
        <v>31</v>
      </c>
      <c r="C20" s="24">
        <v>82</v>
      </c>
      <c r="D20" s="24">
        <v>48</v>
      </c>
      <c r="E20" s="24">
        <v>79</v>
      </c>
      <c r="F20" s="25">
        <v>46161</v>
      </c>
      <c r="G20" s="24" t="str">
        <f t="shared" si="0"/>
        <v>A</v>
      </c>
      <c r="H20" s="57">
        <v>38734</v>
      </c>
      <c r="I20" s="24" t="str">
        <f t="shared" si="1"/>
        <v>Top Student</v>
      </c>
      <c r="J20" s="26">
        <f t="shared" si="2"/>
        <v>209</v>
      </c>
      <c r="K20" s="53">
        <f>J20/300*100</f>
        <v>69.666666666666671</v>
      </c>
      <c r="L20" s="21">
        <f t="shared" ca="1" si="3"/>
        <v>20</v>
      </c>
      <c r="M20" s="22" t="str">
        <f t="shared" si="4"/>
        <v>No</v>
      </c>
    </row>
    <row r="21" spans="1:23" ht="19.5" customHeight="1" x14ac:dyDescent="0.25">
      <c r="A21" s="23">
        <v>1019</v>
      </c>
      <c r="B21" s="24" t="s">
        <v>32</v>
      </c>
      <c r="C21" s="24">
        <v>90</v>
      </c>
      <c r="D21" s="24">
        <v>78</v>
      </c>
      <c r="E21" s="24">
        <v>60</v>
      </c>
      <c r="F21" s="25">
        <v>46341</v>
      </c>
      <c r="G21" s="24" t="str">
        <f t="shared" si="0"/>
        <v>A</v>
      </c>
      <c r="H21" s="57">
        <v>38228</v>
      </c>
      <c r="I21" s="24" t="str">
        <f t="shared" si="1"/>
        <v>Top Student</v>
      </c>
      <c r="J21" s="26">
        <f t="shared" si="2"/>
        <v>228</v>
      </c>
      <c r="K21" s="53">
        <f>J21/300*100</f>
        <v>76</v>
      </c>
      <c r="L21" s="21">
        <f t="shared" ca="1" si="3"/>
        <v>22</v>
      </c>
      <c r="M21" s="22" t="str">
        <f t="shared" si="4"/>
        <v>No</v>
      </c>
    </row>
    <row r="22" spans="1:23" ht="19.5" customHeight="1" x14ac:dyDescent="0.25">
      <c r="A22" s="23">
        <v>1020</v>
      </c>
      <c r="B22" s="24" t="s">
        <v>33</v>
      </c>
      <c r="C22" s="24">
        <v>83</v>
      </c>
      <c r="D22" s="24">
        <v>92</v>
      </c>
      <c r="E22" s="24">
        <v>55</v>
      </c>
      <c r="F22" s="25">
        <v>46521</v>
      </c>
      <c r="G22" s="24" t="str">
        <f t="shared" si="0"/>
        <v>A</v>
      </c>
      <c r="H22" s="57">
        <v>38690</v>
      </c>
      <c r="I22" s="24" t="str">
        <f t="shared" si="1"/>
        <v>Top Student</v>
      </c>
      <c r="J22" s="26">
        <f t="shared" si="2"/>
        <v>230</v>
      </c>
      <c r="K22" s="54">
        <f>J22/300*100</f>
        <v>76.666666666666671</v>
      </c>
      <c r="L22" s="32">
        <f t="shared" ca="1" si="3"/>
        <v>20</v>
      </c>
      <c r="M22" s="33" t="str">
        <f t="shared" si="4"/>
        <v>Yes</v>
      </c>
    </row>
    <row r="26" spans="1:23" x14ac:dyDescent="0.25">
      <c r="A26" s="50" t="s">
        <v>34</v>
      </c>
      <c r="B26" s="51" t="s">
        <v>35</v>
      </c>
      <c r="C26" s="51" t="s">
        <v>36</v>
      </c>
      <c r="D26" s="52" t="s">
        <v>37</v>
      </c>
    </row>
    <row r="27" spans="1:23" ht="30" x14ac:dyDescent="0.25">
      <c r="A27" s="34" t="s">
        <v>38</v>
      </c>
      <c r="B27" s="2" t="s">
        <v>39</v>
      </c>
      <c r="C27" s="2">
        <f>COUNTIFS($C$3:$C$22,"&gt;50")</f>
        <v>19</v>
      </c>
      <c r="D27" s="35" t="s">
        <v>40</v>
      </c>
    </row>
    <row r="28" spans="1:23" ht="21.75" customHeight="1" x14ac:dyDescent="0.25">
      <c r="A28" s="34" t="s">
        <v>41</v>
      </c>
      <c r="B28" s="2" t="s">
        <v>42</v>
      </c>
      <c r="C28" s="2">
        <f>COUNTIFS($C$3:$C$22,"&gt;60")</f>
        <v>19</v>
      </c>
      <c r="D28" s="35" t="s">
        <v>40</v>
      </c>
    </row>
    <row r="29" spans="1:23" ht="36.75" customHeight="1" x14ac:dyDescent="0.25">
      <c r="A29" s="34" t="s">
        <v>43</v>
      </c>
      <c r="B29" s="2" t="s">
        <v>42</v>
      </c>
      <c r="C29" s="3">
        <f>AVERAGEIFS($C$3:$C$22,$C$3:$C$22,"&gt;60")</f>
        <v>82.263157894736835</v>
      </c>
      <c r="D29" s="35" t="s">
        <v>44</v>
      </c>
      <c r="P29" t="s">
        <v>188</v>
      </c>
    </row>
    <row r="30" spans="1:23" ht="32.25" customHeight="1" x14ac:dyDescent="0.25">
      <c r="A30" s="34" t="s">
        <v>45</v>
      </c>
      <c r="B30" s="2">
        <v>1006</v>
      </c>
      <c r="C30" s="2" t="str">
        <f>VLOOKUP(B30,$A$3:$B$22,2,FALSE)</f>
        <v>Student 6</v>
      </c>
      <c r="D30" s="35" t="s">
        <v>46</v>
      </c>
    </row>
    <row r="31" spans="1:23" ht="44.25" customHeight="1" x14ac:dyDescent="0.25">
      <c r="A31" s="34" t="s">
        <v>47</v>
      </c>
      <c r="B31" s="4">
        <v>36753</v>
      </c>
      <c r="C31" s="2">
        <f ca="1">DATEDIF(B31,TODAY(),"Y")</f>
        <v>26</v>
      </c>
      <c r="D31" s="35" t="s">
        <v>48</v>
      </c>
    </row>
    <row r="32" spans="1:23" ht="59.25" customHeight="1" x14ac:dyDescent="0.25">
      <c r="A32" s="36" t="s">
        <v>49</v>
      </c>
      <c r="B32" s="37" t="s">
        <v>50</v>
      </c>
      <c r="C32" s="38" t="s">
        <v>51</v>
      </c>
      <c r="D32" s="39" t="s">
        <v>52</v>
      </c>
    </row>
  </sheetData>
  <mergeCells count="2">
    <mergeCell ref="A1:M1"/>
    <mergeCell ref="P2:U2"/>
  </mergeCells>
  <conditionalFormatting sqref="K3:K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C3F1-0E4E-4FE1-8EC8-7904A154F12F}">
  <dimension ref="A1:S35"/>
  <sheetViews>
    <sheetView topLeftCell="A26" workbookViewId="0">
      <selection activeCell="A26" sqref="A26:E35"/>
    </sheetView>
  </sheetViews>
  <sheetFormatPr defaultRowHeight="15" x14ac:dyDescent="0.25"/>
  <cols>
    <col min="1" max="1" width="24.5703125" style="9" customWidth="1"/>
    <col min="2" max="2" width="23.42578125" style="9" customWidth="1"/>
    <col min="3" max="3" width="15.140625" style="9" customWidth="1"/>
    <col min="4" max="4" width="12.85546875" style="9" customWidth="1"/>
    <col min="5" max="5" width="16.85546875" style="9" customWidth="1"/>
    <col min="6" max="6" width="17.5703125" style="9" customWidth="1"/>
    <col min="7" max="7" width="16.85546875" style="9" customWidth="1"/>
    <col min="8" max="9" width="16.5703125" style="9" customWidth="1"/>
    <col min="10" max="10" width="15" style="9" customWidth="1"/>
    <col min="11" max="11" width="9.140625" style="9"/>
    <col min="12" max="12" width="13.85546875" style="9" customWidth="1"/>
    <col min="13" max="13" width="9.140625" style="9"/>
    <col min="14" max="14" width="16.42578125" style="9" customWidth="1"/>
    <col min="15" max="15" width="15" style="9" customWidth="1"/>
    <col min="16" max="16" width="18.85546875" style="9" customWidth="1"/>
    <col min="17" max="17" width="9.28515625" style="9" customWidth="1"/>
    <col min="18" max="18" width="13.85546875" style="9" customWidth="1"/>
    <col min="19" max="19" width="10.28515625" style="9" customWidth="1"/>
    <col min="20" max="16384" width="9.140625" style="9"/>
  </cols>
  <sheetData>
    <row r="1" spans="1:19" x14ac:dyDescent="0.25">
      <c r="A1" s="8" t="s">
        <v>54</v>
      </c>
      <c r="B1" s="8" t="s">
        <v>55</v>
      </c>
      <c r="C1" s="8" t="s">
        <v>56</v>
      </c>
      <c r="D1" s="8" t="s">
        <v>57</v>
      </c>
      <c r="E1" s="8" t="s">
        <v>58</v>
      </c>
      <c r="F1" s="8" t="s">
        <v>59</v>
      </c>
      <c r="G1" s="8" t="s">
        <v>60</v>
      </c>
      <c r="H1" s="8" t="s">
        <v>61</v>
      </c>
      <c r="I1" s="8" t="s">
        <v>62</v>
      </c>
      <c r="J1" s="8" t="s">
        <v>63</v>
      </c>
    </row>
    <row r="2" spans="1:19" x14ac:dyDescent="0.25">
      <c r="A2" s="10" t="s">
        <v>230</v>
      </c>
      <c r="B2" s="10" t="s">
        <v>231</v>
      </c>
      <c r="C2" s="10" t="s">
        <v>232</v>
      </c>
      <c r="D2" s="10" t="s">
        <v>233</v>
      </c>
      <c r="E2" s="10" t="s">
        <v>234</v>
      </c>
      <c r="F2" s="11" t="s">
        <v>235</v>
      </c>
      <c r="G2" s="12" t="s">
        <v>236</v>
      </c>
      <c r="H2" s="10" t="s">
        <v>237</v>
      </c>
      <c r="I2" s="10" t="s">
        <v>238</v>
      </c>
      <c r="J2" s="10" t="s">
        <v>239</v>
      </c>
    </row>
    <row r="3" spans="1:19" ht="15.75" x14ac:dyDescent="0.25">
      <c r="A3" s="58">
        <v>2001</v>
      </c>
      <c r="B3" s="58" t="s">
        <v>64</v>
      </c>
      <c r="C3" s="58" t="s">
        <v>65</v>
      </c>
      <c r="D3" s="58" t="s">
        <v>66</v>
      </c>
      <c r="E3" s="58" t="s">
        <v>67</v>
      </c>
      <c r="F3" s="59">
        <v>7048</v>
      </c>
      <c r="G3" s="60">
        <v>44927</v>
      </c>
      <c r="H3" s="58" t="s">
        <v>68</v>
      </c>
      <c r="I3" s="58" t="s">
        <v>69</v>
      </c>
      <c r="J3" s="58" t="s">
        <v>70</v>
      </c>
      <c r="L3" s="9" t="s">
        <v>188</v>
      </c>
      <c r="N3" s="62" t="s">
        <v>189</v>
      </c>
      <c r="O3" s="63"/>
      <c r="P3" s="63"/>
      <c r="Q3" s="63"/>
      <c r="R3" s="63"/>
      <c r="S3" s="64"/>
    </row>
    <row r="4" spans="1:19" x14ac:dyDescent="0.25">
      <c r="A4" s="58">
        <v>2002</v>
      </c>
      <c r="B4" s="58" t="s">
        <v>71</v>
      </c>
      <c r="C4" s="58" t="s">
        <v>72</v>
      </c>
      <c r="D4" s="58" t="s">
        <v>73</v>
      </c>
      <c r="E4" s="58" t="s">
        <v>74</v>
      </c>
      <c r="F4" s="59">
        <v>17428</v>
      </c>
      <c r="G4" s="60">
        <v>44942</v>
      </c>
      <c r="H4" s="58" t="s">
        <v>75</v>
      </c>
      <c r="I4" s="58" t="s">
        <v>76</v>
      </c>
      <c r="J4" s="58" t="s">
        <v>70</v>
      </c>
      <c r="L4" s="9" t="s">
        <v>188</v>
      </c>
      <c r="N4" s="13" t="s">
        <v>190</v>
      </c>
      <c r="O4" s="13" t="s">
        <v>191</v>
      </c>
      <c r="P4" s="13" t="s">
        <v>192</v>
      </c>
      <c r="Q4" s="64"/>
      <c r="R4" s="64"/>
      <c r="S4" s="64"/>
    </row>
    <row r="5" spans="1:19" ht="27.75" customHeight="1" x14ac:dyDescent="0.25">
      <c r="A5" s="58">
        <v>2003</v>
      </c>
      <c r="B5" s="58" t="s">
        <v>77</v>
      </c>
      <c r="C5" s="58" t="s">
        <v>78</v>
      </c>
      <c r="D5" s="58" t="s">
        <v>66</v>
      </c>
      <c r="E5" s="58" t="s">
        <v>79</v>
      </c>
      <c r="F5" s="59">
        <v>23672</v>
      </c>
      <c r="G5" s="60">
        <v>44957</v>
      </c>
      <c r="H5" s="58" t="s">
        <v>80</v>
      </c>
      <c r="I5" s="58" t="s">
        <v>76</v>
      </c>
      <c r="J5" s="58" t="s">
        <v>70</v>
      </c>
      <c r="L5" s="9" t="s">
        <v>188</v>
      </c>
      <c r="N5" s="14" t="s">
        <v>230</v>
      </c>
      <c r="O5" s="15" t="s">
        <v>231</v>
      </c>
      <c r="P5" s="14" t="s">
        <v>232</v>
      </c>
      <c r="Q5" s="64"/>
      <c r="R5" s="64"/>
      <c r="S5" s="64"/>
    </row>
    <row r="6" spans="1:19" ht="27.75" customHeight="1" x14ac:dyDescent="0.25">
      <c r="A6" s="58">
        <v>2004</v>
      </c>
      <c r="B6" s="58" t="s">
        <v>81</v>
      </c>
      <c r="C6" s="58" t="s">
        <v>72</v>
      </c>
      <c r="D6" s="58" t="s">
        <v>82</v>
      </c>
      <c r="E6" s="58" t="s">
        <v>83</v>
      </c>
      <c r="F6" s="59">
        <v>5264</v>
      </c>
      <c r="G6" s="60">
        <v>44972</v>
      </c>
      <c r="H6" s="58" t="s">
        <v>68</v>
      </c>
      <c r="I6" s="58" t="s">
        <v>69</v>
      </c>
      <c r="J6" s="58" t="s">
        <v>84</v>
      </c>
      <c r="L6" s="9" t="s">
        <v>188</v>
      </c>
      <c r="N6" s="5" t="s">
        <v>193</v>
      </c>
      <c r="O6" s="61">
        <f>' SALES DATA '!F16</f>
        <v>7283</v>
      </c>
      <c r="P6" s="5" t="s">
        <v>194</v>
      </c>
      <c r="Q6" s="64"/>
      <c r="R6" s="64"/>
      <c r="S6" s="64"/>
    </row>
    <row r="7" spans="1:19" ht="27.75" customHeight="1" x14ac:dyDescent="0.25">
      <c r="A7" s="58">
        <v>2005</v>
      </c>
      <c r="B7" s="58" t="s">
        <v>85</v>
      </c>
      <c r="C7" s="58" t="s">
        <v>65</v>
      </c>
      <c r="D7" s="58" t="s">
        <v>86</v>
      </c>
      <c r="E7" s="58" t="s">
        <v>87</v>
      </c>
      <c r="F7" s="59">
        <v>43388</v>
      </c>
      <c r="G7" s="60">
        <v>44987</v>
      </c>
      <c r="H7" s="58" t="s">
        <v>88</v>
      </c>
      <c r="I7" s="58" t="s">
        <v>76</v>
      </c>
      <c r="J7" s="58" t="s">
        <v>89</v>
      </c>
      <c r="L7" s="9" t="s">
        <v>207</v>
      </c>
      <c r="N7" s="5" t="s">
        <v>195</v>
      </c>
      <c r="O7" s="61">
        <f>' SALES DATA '!F17</f>
        <v>15678</v>
      </c>
      <c r="P7" s="5" t="s">
        <v>196</v>
      </c>
      <c r="Q7" s="64"/>
      <c r="R7" s="64"/>
      <c r="S7" s="64"/>
    </row>
    <row r="8" spans="1:19" ht="27.75" customHeight="1" x14ac:dyDescent="0.25">
      <c r="A8" s="58">
        <v>2006</v>
      </c>
      <c r="B8" s="58" t="s">
        <v>90</v>
      </c>
      <c r="C8" s="58" t="s">
        <v>78</v>
      </c>
      <c r="D8" s="58" t="s">
        <v>86</v>
      </c>
      <c r="E8" s="58" t="s">
        <v>91</v>
      </c>
      <c r="F8" s="59">
        <v>19757</v>
      </c>
      <c r="G8" s="60">
        <v>45002</v>
      </c>
      <c r="H8" s="58" t="s">
        <v>75</v>
      </c>
      <c r="I8" s="58" t="s">
        <v>76</v>
      </c>
      <c r="J8" s="58" t="s">
        <v>89</v>
      </c>
      <c r="L8" s="9" t="s">
        <v>188</v>
      </c>
      <c r="N8" s="5" t="s">
        <v>197</v>
      </c>
      <c r="O8" s="61">
        <f>' SALES DATA '!F18</f>
        <v>5277</v>
      </c>
      <c r="P8" s="5" t="s">
        <v>198</v>
      </c>
      <c r="Q8" s="64"/>
      <c r="R8" s="64"/>
      <c r="S8" s="64"/>
    </row>
    <row r="9" spans="1:19" ht="27.75" customHeight="1" x14ac:dyDescent="0.25">
      <c r="A9" s="58">
        <v>2007</v>
      </c>
      <c r="B9" s="58" t="s">
        <v>92</v>
      </c>
      <c r="C9" s="58" t="s">
        <v>78</v>
      </c>
      <c r="D9" s="58" t="s">
        <v>82</v>
      </c>
      <c r="E9" s="58" t="s">
        <v>93</v>
      </c>
      <c r="F9" s="59">
        <v>32058</v>
      </c>
      <c r="G9" s="60">
        <v>45017</v>
      </c>
      <c r="H9" s="58" t="s">
        <v>80</v>
      </c>
      <c r="I9" s="58" t="s">
        <v>76</v>
      </c>
      <c r="J9" s="58" t="s">
        <v>94</v>
      </c>
      <c r="L9" s="9" t="s">
        <v>188</v>
      </c>
      <c r="N9" s="5" t="s">
        <v>199</v>
      </c>
      <c r="O9" s="61">
        <f>' SALES DATA '!F19</f>
        <v>41871</v>
      </c>
      <c r="P9" s="5" t="s">
        <v>198</v>
      </c>
      <c r="Q9" s="64"/>
      <c r="R9" s="64"/>
      <c r="S9" s="64"/>
    </row>
    <row r="10" spans="1:19" ht="27.75" customHeight="1" x14ac:dyDescent="0.25">
      <c r="A10" s="58">
        <v>2008</v>
      </c>
      <c r="B10" s="58" t="s">
        <v>95</v>
      </c>
      <c r="C10" s="58" t="s">
        <v>65</v>
      </c>
      <c r="D10" s="58" t="s">
        <v>82</v>
      </c>
      <c r="E10" s="58" t="s">
        <v>96</v>
      </c>
      <c r="F10" s="59">
        <v>46429</v>
      </c>
      <c r="G10" s="60">
        <v>45032</v>
      </c>
      <c r="H10" s="58" t="s">
        <v>88</v>
      </c>
      <c r="I10" s="58" t="s">
        <v>76</v>
      </c>
      <c r="J10" s="58" t="s">
        <v>94</v>
      </c>
      <c r="L10" s="9" t="s">
        <v>188</v>
      </c>
      <c r="N10" s="5" t="s">
        <v>200</v>
      </c>
      <c r="O10" s="61">
        <f>' SALES DATA '!F20</f>
        <v>38161</v>
      </c>
      <c r="P10" s="5" t="s">
        <v>201</v>
      </c>
      <c r="Q10" s="64"/>
      <c r="R10" s="64"/>
      <c r="S10" s="64"/>
    </row>
    <row r="11" spans="1:19" ht="27.75" customHeight="1" x14ac:dyDescent="0.25">
      <c r="A11" s="58">
        <v>2009</v>
      </c>
      <c r="B11" s="58" t="s">
        <v>97</v>
      </c>
      <c r="C11" s="58" t="s">
        <v>72</v>
      </c>
      <c r="D11" s="58" t="s">
        <v>82</v>
      </c>
      <c r="E11" s="58" t="s">
        <v>98</v>
      </c>
      <c r="F11" s="59">
        <v>19746</v>
      </c>
      <c r="G11" s="60">
        <v>45047</v>
      </c>
      <c r="H11" s="58" t="s">
        <v>75</v>
      </c>
      <c r="I11" s="58" t="s">
        <v>76</v>
      </c>
      <c r="J11" s="58" t="s">
        <v>99</v>
      </c>
      <c r="L11" s="9" t="s">
        <v>188</v>
      </c>
      <c r="N11" s="5" t="s">
        <v>202</v>
      </c>
      <c r="O11" s="61">
        <f>' SALES DATA '!F21</f>
        <v>30436</v>
      </c>
      <c r="P11" s="5" t="s">
        <v>203</v>
      </c>
      <c r="Q11" s="64"/>
      <c r="R11" s="64"/>
      <c r="S11" s="64"/>
    </row>
    <row r="12" spans="1:19" ht="23.25" customHeight="1" x14ac:dyDescent="0.25">
      <c r="A12" s="58">
        <v>2010</v>
      </c>
      <c r="B12" s="58" t="s">
        <v>100</v>
      </c>
      <c r="C12" s="58" t="s">
        <v>65</v>
      </c>
      <c r="D12" s="58" t="s">
        <v>66</v>
      </c>
      <c r="E12" s="58" t="s">
        <v>101</v>
      </c>
      <c r="F12" s="59">
        <v>35185</v>
      </c>
      <c r="G12" s="60">
        <v>45062</v>
      </c>
      <c r="H12" s="58" t="s">
        <v>80</v>
      </c>
      <c r="I12" s="58" t="s">
        <v>76</v>
      </c>
      <c r="J12" s="58" t="s">
        <v>99</v>
      </c>
      <c r="N12" s="5" t="s">
        <v>204</v>
      </c>
      <c r="O12" s="61">
        <f>' SALES DATA '!F22</f>
        <v>33953</v>
      </c>
      <c r="P12" s="5" t="s">
        <v>205</v>
      </c>
      <c r="Q12" s="64"/>
      <c r="R12" s="64"/>
      <c r="S12" s="64"/>
    </row>
    <row r="13" spans="1:19" x14ac:dyDescent="0.25">
      <c r="A13" s="58">
        <v>2011</v>
      </c>
      <c r="B13" s="58" t="s">
        <v>102</v>
      </c>
      <c r="C13" s="58" t="s">
        <v>65</v>
      </c>
      <c r="D13" s="58" t="s">
        <v>82</v>
      </c>
      <c r="E13" s="58" t="s">
        <v>103</v>
      </c>
      <c r="F13" s="59">
        <v>33920</v>
      </c>
      <c r="G13" s="60">
        <v>45077</v>
      </c>
      <c r="H13" s="58" t="s">
        <v>80</v>
      </c>
      <c r="I13" s="58" t="s">
        <v>76</v>
      </c>
      <c r="J13" s="58" t="s">
        <v>99</v>
      </c>
      <c r="N13" s="64"/>
      <c r="O13" s="64"/>
      <c r="P13" s="64"/>
      <c r="Q13" s="64"/>
      <c r="R13" s="64"/>
      <c r="S13" s="64"/>
    </row>
    <row r="14" spans="1:19" ht="21.75" customHeight="1" x14ac:dyDescent="0.25">
      <c r="A14" s="58">
        <v>2012</v>
      </c>
      <c r="B14" s="58" t="s">
        <v>104</v>
      </c>
      <c r="C14" s="58" t="s">
        <v>105</v>
      </c>
      <c r="D14" s="58" t="s">
        <v>86</v>
      </c>
      <c r="E14" s="58" t="s">
        <v>106</v>
      </c>
      <c r="F14" s="59">
        <v>35611</v>
      </c>
      <c r="G14" s="60">
        <v>45092</v>
      </c>
      <c r="H14" s="58" t="s">
        <v>80</v>
      </c>
      <c r="I14" s="58" t="s">
        <v>76</v>
      </c>
      <c r="J14" s="58" t="s">
        <v>107</v>
      </c>
    </row>
    <row r="15" spans="1:19" ht="17.25" customHeight="1" x14ac:dyDescent="0.25">
      <c r="A15" s="58">
        <v>2013</v>
      </c>
      <c r="B15" s="58" t="s">
        <v>108</v>
      </c>
      <c r="C15" s="58" t="s">
        <v>109</v>
      </c>
      <c r="D15" s="58" t="s">
        <v>82</v>
      </c>
      <c r="E15" s="58" t="s">
        <v>110</v>
      </c>
      <c r="F15" s="59">
        <v>15560</v>
      </c>
      <c r="G15" s="60">
        <v>45107</v>
      </c>
      <c r="H15" s="58" t="s">
        <v>75</v>
      </c>
      <c r="I15" s="58" t="s">
        <v>76</v>
      </c>
      <c r="J15" s="58" t="s">
        <v>107</v>
      </c>
    </row>
    <row r="16" spans="1:19" ht="21.75" customHeight="1" x14ac:dyDescent="0.25">
      <c r="A16" s="58">
        <v>2014</v>
      </c>
      <c r="B16" s="58" t="s">
        <v>111</v>
      </c>
      <c r="C16" s="58" t="s">
        <v>109</v>
      </c>
      <c r="D16" s="58" t="s">
        <v>66</v>
      </c>
      <c r="E16" s="58" t="s">
        <v>112</v>
      </c>
      <c r="F16" s="59">
        <v>7283</v>
      </c>
      <c r="G16" s="60">
        <v>45122</v>
      </c>
      <c r="H16" s="58" t="s">
        <v>75</v>
      </c>
      <c r="I16" s="58" t="s">
        <v>76</v>
      </c>
      <c r="J16" s="58" t="s">
        <v>113</v>
      </c>
      <c r="N16" s="62" t="s">
        <v>206</v>
      </c>
      <c r="O16" s="63"/>
      <c r="P16" s="63"/>
      <c r="Q16" s="63"/>
      <c r="R16" s="63"/>
      <c r="S16" s="63"/>
    </row>
    <row r="17" spans="1:19" ht="21.75" customHeight="1" x14ac:dyDescent="0.25">
      <c r="A17" s="58">
        <v>2015</v>
      </c>
      <c r="B17" s="58" t="s">
        <v>114</v>
      </c>
      <c r="C17" s="58" t="s">
        <v>109</v>
      </c>
      <c r="D17" s="58" t="s">
        <v>82</v>
      </c>
      <c r="E17" s="58" t="s">
        <v>115</v>
      </c>
      <c r="F17" s="59">
        <v>15678</v>
      </c>
      <c r="G17" s="60">
        <v>45137</v>
      </c>
      <c r="H17" s="58" t="s">
        <v>75</v>
      </c>
      <c r="I17" s="58" t="s">
        <v>76</v>
      </c>
      <c r="J17" s="58" t="s">
        <v>113</v>
      </c>
      <c r="N17" s="13" t="s">
        <v>54</v>
      </c>
      <c r="O17" s="13" t="s">
        <v>55</v>
      </c>
      <c r="P17" s="13" t="s">
        <v>56</v>
      </c>
      <c r="Q17" s="13" t="s">
        <v>57</v>
      </c>
      <c r="R17" s="13" t="s">
        <v>58</v>
      </c>
      <c r="S17" s="13" t="s">
        <v>59</v>
      </c>
    </row>
    <row r="18" spans="1:19" x14ac:dyDescent="0.25">
      <c r="A18" s="58">
        <v>2016</v>
      </c>
      <c r="B18" s="58" t="s">
        <v>116</v>
      </c>
      <c r="C18" s="58" t="s">
        <v>78</v>
      </c>
      <c r="D18" s="58" t="s">
        <v>82</v>
      </c>
      <c r="E18" s="58" t="s">
        <v>117</v>
      </c>
      <c r="F18" s="59">
        <v>5277</v>
      </c>
      <c r="G18" s="60">
        <v>45152</v>
      </c>
      <c r="H18" s="58" t="s">
        <v>68</v>
      </c>
      <c r="I18" s="58" t="s">
        <v>69</v>
      </c>
      <c r="J18" s="58" t="s">
        <v>118</v>
      </c>
      <c r="N18" s="5">
        <v>2007</v>
      </c>
      <c r="O18" s="5" t="s">
        <v>92</v>
      </c>
      <c r="P18" s="5" t="s">
        <v>78</v>
      </c>
      <c r="Q18" s="5" t="s">
        <v>82</v>
      </c>
      <c r="R18" s="5" t="s">
        <v>93</v>
      </c>
      <c r="S18" s="61">
        <v>32058</v>
      </c>
    </row>
    <row r="19" spans="1:19" ht="14.25" customHeight="1" x14ac:dyDescent="0.25">
      <c r="A19" s="58">
        <v>2017</v>
      </c>
      <c r="B19" s="58" t="s">
        <v>119</v>
      </c>
      <c r="C19" s="58" t="s">
        <v>105</v>
      </c>
      <c r="D19" s="58" t="s">
        <v>86</v>
      </c>
      <c r="E19" s="58" t="s">
        <v>120</v>
      </c>
      <c r="F19" s="59">
        <v>41871</v>
      </c>
      <c r="G19" s="60">
        <v>45167</v>
      </c>
      <c r="H19" s="58" t="s">
        <v>88</v>
      </c>
      <c r="I19" s="58" t="s">
        <v>76</v>
      </c>
      <c r="J19" s="58" t="s">
        <v>118</v>
      </c>
      <c r="N19" s="5">
        <v>2016</v>
      </c>
      <c r="O19" s="5" t="s">
        <v>116</v>
      </c>
      <c r="P19" s="5" t="s">
        <v>78</v>
      </c>
      <c r="Q19" s="5" t="s">
        <v>82</v>
      </c>
      <c r="R19" s="5" t="s">
        <v>117</v>
      </c>
      <c r="S19" s="61">
        <v>5277</v>
      </c>
    </row>
    <row r="20" spans="1:19" x14ac:dyDescent="0.25">
      <c r="A20" s="58">
        <v>2018</v>
      </c>
      <c r="B20" s="58" t="s">
        <v>121</v>
      </c>
      <c r="C20" s="58" t="s">
        <v>105</v>
      </c>
      <c r="D20" s="58" t="s">
        <v>73</v>
      </c>
      <c r="E20" s="58" t="s">
        <v>122</v>
      </c>
      <c r="F20" s="59">
        <v>38161</v>
      </c>
      <c r="G20" s="60">
        <v>45182</v>
      </c>
      <c r="H20" s="58" t="s">
        <v>80</v>
      </c>
      <c r="I20" s="58" t="s">
        <v>76</v>
      </c>
      <c r="J20" s="58" t="s">
        <v>123</v>
      </c>
    </row>
    <row r="21" spans="1:19" x14ac:dyDescent="0.25">
      <c r="A21" s="58">
        <v>2019</v>
      </c>
      <c r="B21" s="58" t="s">
        <v>124</v>
      </c>
      <c r="C21" s="58" t="s">
        <v>78</v>
      </c>
      <c r="D21" s="58" t="s">
        <v>73</v>
      </c>
      <c r="E21" s="58" t="s">
        <v>125</v>
      </c>
      <c r="F21" s="59">
        <v>30436</v>
      </c>
      <c r="G21" s="60">
        <v>45197</v>
      </c>
      <c r="H21" s="58" t="s">
        <v>80</v>
      </c>
      <c r="I21" s="58" t="s">
        <v>76</v>
      </c>
      <c r="J21" s="58" t="s">
        <v>123</v>
      </c>
    </row>
    <row r="22" spans="1:19" x14ac:dyDescent="0.25">
      <c r="A22" s="58">
        <v>2020</v>
      </c>
      <c r="B22" s="58" t="s">
        <v>126</v>
      </c>
      <c r="C22" s="58" t="s">
        <v>72</v>
      </c>
      <c r="D22" s="58" t="s">
        <v>73</v>
      </c>
      <c r="E22" s="58" t="s">
        <v>127</v>
      </c>
      <c r="F22" s="59">
        <v>33953</v>
      </c>
      <c r="G22" s="60">
        <v>45212</v>
      </c>
      <c r="H22" s="58" t="s">
        <v>80</v>
      </c>
      <c r="I22" s="58" t="s">
        <v>76</v>
      </c>
      <c r="J22" s="58" t="s">
        <v>128</v>
      </c>
    </row>
    <row r="24" spans="1:19" ht="30" x14ac:dyDescent="0.25">
      <c r="A24" s="65" t="s">
        <v>155</v>
      </c>
      <c r="B24" s="65" t="s">
        <v>154</v>
      </c>
      <c r="C24" s="65" t="s">
        <v>153</v>
      </c>
      <c r="D24" s="65" t="s">
        <v>152</v>
      </c>
      <c r="E24" s="65" t="s">
        <v>151</v>
      </c>
    </row>
    <row r="25" spans="1:19" x14ac:dyDescent="0.25">
      <c r="A25" s="16" t="s">
        <v>230</v>
      </c>
      <c r="B25" s="16" t="s">
        <v>231</v>
      </c>
      <c r="C25" s="16" t="s">
        <v>232</v>
      </c>
      <c r="D25" s="16" t="s">
        <v>233</v>
      </c>
      <c r="E25" s="16" t="s">
        <v>234</v>
      </c>
    </row>
    <row r="26" spans="1:19" ht="30" x14ac:dyDescent="0.25">
      <c r="A26" s="2" t="s">
        <v>150</v>
      </c>
      <c r="B26" s="2" t="s">
        <v>82</v>
      </c>
      <c r="C26" s="2" t="s">
        <v>78</v>
      </c>
      <c r="D26" s="2" t="e">
        <f>SUMIFS('[1]Sales Data'!$F$3:$F$22,'[1]Sales Data'!$D$3:$D$22,B26,'[1]Sales Data'!$C$3:$C$22,C26)</f>
        <v>#VALUE!</v>
      </c>
      <c r="E26" s="2" t="s">
        <v>149</v>
      </c>
    </row>
    <row r="27" spans="1:19" ht="45" x14ac:dyDescent="0.25">
      <c r="A27" s="2" t="s">
        <v>148</v>
      </c>
      <c r="B27" s="2" t="s">
        <v>100</v>
      </c>
      <c r="C27" s="2"/>
      <c r="D27" s="2">
        <f>VLOOKUP(B27,'[1]Sales Data'!$B$3:$F$22,5,FALSE)</f>
        <v>35185</v>
      </c>
      <c r="E27" s="2" t="s">
        <v>147</v>
      </c>
    </row>
    <row r="28" spans="1:19" ht="30" x14ac:dyDescent="0.25">
      <c r="A28" s="2" t="s">
        <v>146</v>
      </c>
      <c r="B28" s="2" t="s">
        <v>83</v>
      </c>
      <c r="C28" s="2" t="s">
        <v>84</v>
      </c>
      <c r="D28" s="2" t="e">
        <f>INDEX('[1]Sales Data'!$F$3:$F$22,MATCH(1,('[1]Sales Data'!$E$3:$E$22=B28)*('[1]Sales Data'!$J$3:$J$22=C28),0))</f>
        <v>#VALUE!</v>
      </c>
      <c r="E28" s="2" t="s">
        <v>145</v>
      </c>
    </row>
    <row r="29" spans="1:19" ht="30" x14ac:dyDescent="0.25">
      <c r="A29" s="2" t="s">
        <v>144</v>
      </c>
      <c r="B29" s="2" t="s">
        <v>106</v>
      </c>
      <c r="C29" s="2"/>
      <c r="D29" s="2" t="e">
        <f ca="1">_xludf.XLOOKUP(B29,'[1]Sales Data'!$E$3:$E$22,'[1]Sales Data'!$F$3:$F$22,"Not found")</f>
        <v>#NAME?</v>
      </c>
      <c r="E29" s="2" t="s">
        <v>143</v>
      </c>
    </row>
    <row r="30" spans="1:19" ht="30" x14ac:dyDescent="0.25">
      <c r="A30" s="2" t="s">
        <v>142</v>
      </c>
      <c r="B30" s="2" t="s">
        <v>78</v>
      </c>
      <c r="C30" s="2"/>
      <c r="D30" s="2">
        <f>MATCH(B30,'[1]Sales Data'!$C$3:$C$22,0)</f>
        <v>3</v>
      </c>
      <c r="E30" s="2" t="s">
        <v>141</v>
      </c>
    </row>
    <row r="31" spans="1:19" ht="30" x14ac:dyDescent="0.25">
      <c r="A31" s="2" t="s">
        <v>140</v>
      </c>
      <c r="B31" s="2" t="s">
        <v>139</v>
      </c>
      <c r="C31" s="2"/>
      <c r="D31" s="2">
        <f ca="1">SUM(INDIRECT(B31))</f>
        <v>507725</v>
      </c>
      <c r="E31" s="2" t="s">
        <v>138</v>
      </c>
    </row>
    <row r="32" spans="1:19" ht="30" x14ac:dyDescent="0.25">
      <c r="A32" s="2" t="s">
        <v>137</v>
      </c>
      <c r="B32" s="2"/>
      <c r="C32" s="2"/>
      <c r="D32" s="2" t="e">
        <f ca="1">SUM(OFFSET('[1]Sales Data'!$F$3,0,0,COUNTA('[1]Sales Data'!$F$3:$F$22),1))</f>
        <v>#VALUE!</v>
      </c>
      <c r="E32" s="2" t="s">
        <v>136</v>
      </c>
    </row>
    <row r="33" spans="1:5" x14ac:dyDescent="0.25">
      <c r="A33" s="2" t="s">
        <v>135</v>
      </c>
      <c r="B33" s="4">
        <v>44927</v>
      </c>
      <c r="C33" s="4">
        <v>44942</v>
      </c>
      <c r="D33" s="2">
        <f>DATEDIF(B33,C33,"d")</f>
        <v>15</v>
      </c>
      <c r="E33" s="2" t="s">
        <v>134</v>
      </c>
    </row>
    <row r="34" spans="1:5" ht="30" x14ac:dyDescent="0.25">
      <c r="A34" s="2" t="s">
        <v>133</v>
      </c>
      <c r="B34" s="2" t="s">
        <v>130</v>
      </c>
      <c r="C34" s="2"/>
      <c r="D34" s="2">
        <f>ROUND('[1]Sales Data'!F3,0)</f>
        <v>7048</v>
      </c>
      <c r="E34" s="2" t="s">
        <v>132</v>
      </c>
    </row>
    <row r="35" spans="1:5" ht="30" x14ac:dyDescent="0.25">
      <c r="A35" s="2" t="s">
        <v>131</v>
      </c>
      <c r="B35" s="2" t="s">
        <v>130</v>
      </c>
      <c r="C35" s="2"/>
      <c r="D35" s="2">
        <f>CEILING('[1]Sales Data'!F3,1000)</f>
        <v>8000</v>
      </c>
      <c r="E35" s="2" t="s">
        <v>129</v>
      </c>
    </row>
  </sheetData>
  <mergeCells count="2">
    <mergeCell ref="N3:R3"/>
    <mergeCell ref="N16:S1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F4E2-20FE-4640-920E-12C7E19055FC}">
  <dimension ref="A1:O46"/>
  <sheetViews>
    <sheetView topLeftCell="A2" workbookViewId="0">
      <selection activeCell="G45" sqref="G45:K45"/>
    </sheetView>
  </sheetViews>
  <sheetFormatPr defaultRowHeight="15" x14ac:dyDescent="0.25"/>
  <cols>
    <col min="1" max="1" width="27.140625" customWidth="1"/>
    <col min="2" max="2" width="14.7109375" customWidth="1"/>
    <col min="3" max="3" width="18.85546875" customWidth="1"/>
    <col min="4" max="4" width="17.42578125" customWidth="1"/>
    <col min="5" max="5" width="16.85546875" customWidth="1"/>
    <col min="6" max="6" width="19.140625" customWidth="1"/>
    <col min="7" max="7" width="34.5703125" customWidth="1"/>
    <col min="8" max="8" width="14.7109375" customWidth="1"/>
    <col min="9" max="9" width="16.85546875" customWidth="1"/>
    <col min="10" max="10" width="11.7109375" customWidth="1"/>
    <col min="11" max="11" width="17" customWidth="1"/>
    <col min="12" max="13" width="16.42578125" customWidth="1"/>
    <col min="14" max="16" width="9.140625" customWidth="1"/>
  </cols>
  <sheetData>
    <row r="1" spans="1:15" x14ac:dyDescent="0.25">
      <c r="A1" s="66" t="s">
        <v>156</v>
      </c>
      <c r="B1" s="66" t="s">
        <v>2</v>
      </c>
      <c r="C1" s="66" t="s">
        <v>157</v>
      </c>
      <c r="D1" s="66" t="s">
        <v>158</v>
      </c>
      <c r="E1" s="66" t="s">
        <v>159</v>
      </c>
      <c r="F1" s="66" t="s">
        <v>160</v>
      </c>
      <c r="G1" s="66" t="s">
        <v>161</v>
      </c>
      <c r="H1" s="66" t="s">
        <v>162</v>
      </c>
      <c r="I1" s="66" t="s">
        <v>163</v>
      </c>
    </row>
    <row r="2" spans="1:15" ht="15.75" x14ac:dyDescent="0.25">
      <c r="A2" s="24">
        <v>3001</v>
      </c>
      <c r="B2" s="24" t="s">
        <v>164</v>
      </c>
      <c r="C2" s="24" t="s">
        <v>165</v>
      </c>
      <c r="D2" s="67">
        <v>86766</v>
      </c>
      <c r="E2" s="25">
        <v>42005</v>
      </c>
      <c r="F2" s="24">
        <f t="shared" ref="F2:F21" ca="1" si="0">IF(E2&gt;TODAY(),"Not joined yet",TODAY()-E2)</f>
        <v>4312</v>
      </c>
      <c r="G2" s="24" t="str">
        <f t="shared" ref="G2:G21" si="1">LEFT(B2,FIND(" ",B2&amp;" ")-1)</f>
        <v>Employee</v>
      </c>
      <c r="H2" s="24" t="str">
        <f t="shared" ref="H2:H21" si="2">UPPER(B2)</f>
        <v>EMPLOYEE 1</v>
      </c>
      <c r="I2" s="24" t="str">
        <f t="shared" ref="I2:I21" si="3">LOWER(B2)</f>
        <v>employee 1</v>
      </c>
      <c r="J2" s="6" t="s">
        <v>188</v>
      </c>
      <c r="K2" s="17" t="s">
        <v>219</v>
      </c>
      <c r="L2" s="18"/>
      <c r="M2" s="18"/>
      <c r="N2" s="18"/>
      <c r="O2" s="7"/>
    </row>
    <row r="3" spans="1:15" x14ac:dyDescent="0.25">
      <c r="A3" s="24">
        <v>3002</v>
      </c>
      <c r="B3" s="24" t="s">
        <v>166</v>
      </c>
      <c r="C3" s="24" t="s">
        <v>165</v>
      </c>
      <c r="D3" s="67">
        <v>31943</v>
      </c>
      <c r="E3" s="25">
        <v>42255</v>
      </c>
      <c r="F3" s="24">
        <f t="shared" ca="1" si="0"/>
        <v>4062</v>
      </c>
      <c r="G3" s="24" t="str">
        <f t="shared" si="1"/>
        <v>Employee</v>
      </c>
      <c r="H3" s="24" t="str">
        <f t="shared" si="2"/>
        <v>EMPLOYEE 2</v>
      </c>
      <c r="I3" s="24" t="str">
        <f t="shared" si="3"/>
        <v>employee 2</v>
      </c>
      <c r="J3" s="6" t="s">
        <v>188</v>
      </c>
      <c r="K3" s="13" t="s">
        <v>190</v>
      </c>
      <c r="L3" s="13" t="s">
        <v>191</v>
      </c>
      <c r="M3" s="13" t="s">
        <v>220</v>
      </c>
      <c r="N3" s="7"/>
      <c r="O3" s="7"/>
    </row>
    <row r="4" spans="1:15" ht="25.5" customHeight="1" x14ac:dyDescent="0.25">
      <c r="A4" s="24">
        <v>3003</v>
      </c>
      <c r="B4" s="24" t="s">
        <v>167</v>
      </c>
      <c r="C4" s="24" t="s">
        <v>168</v>
      </c>
      <c r="D4" s="67">
        <v>63374</v>
      </c>
      <c r="E4" s="25">
        <v>42505</v>
      </c>
      <c r="F4" s="24">
        <f t="shared" ca="1" si="0"/>
        <v>3812</v>
      </c>
      <c r="G4" s="24" t="str">
        <f t="shared" si="1"/>
        <v>Employee</v>
      </c>
      <c r="H4" s="24" t="str">
        <f t="shared" si="2"/>
        <v>EMPLOYEE 3</v>
      </c>
      <c r="I4" s="24" t="str">
        <f t="shared" si="3"/>
        <v>employee 3</v>
      </c>
      <c r="K4" s="68" t="s">
        <v>221</v>
      </c>
      <c r="L4" s="69">
        <v>35960</v>
      </c>
      <c r="M4" s="68" t="s">
        <v>173</v>
      </c>
      <c r="N4" s="7"/>
      <c r="O4" s="7"/>
    </row>
    <row r="5" spans="1:15" ht="25.5" customHeight="1" x14ac:dyDescent="0.25">
      <c r="A5" s="24">
        <v>3004</v>
      </c>
      <c r="B5" s="24" t="s">
        <v>169</v>
      </c>
      <c r="C5" s="24" t="s">
        <v>165</v>
      </c>
      <c r="D5" s="67">
        <v>109972</v>
      </c>
      <c r="E5" s="25">
        <v>42755</v>
      </c>
      <c r="F5" s="24">
        <f t="shared" ca="1" si="0"/>
        <v>3562</v>
      </c>
      <c r="G5" s="24" t="str">
        <f t="shared" si="1"/>
        <v>Employee</v>
      </c>
      <c r="H5" s="24" t="str">
        <f t="shared" si="2"/>
        <v>EMPLOYEE 4</v>
      </c>
      <c r="I5" s="24" t="str">
        <f t="shared" si="3"/>
        <v>employee 4</v>
      </c>
      <c r="K5" s="68" t="s">
        <v>222</v>
      </c>
      <c r="L5" s="69">
        <v>35960</v>
      </c>
      <c r="M5" s="68" t="s">
        <v>223</v>
      </c>
      <c r="N5" s="7"/>
      <c r="O5" s="7"/>
    </row>
    <row r="6" spans="1:15" ht="25.5" customHeight="1" x14ac:dyDescent="0.25">
      <c r="A6" s="24">
        <v>3005</v>
      </c>
      <c r="B6" s="24" t="s">
        <v>170</v>
      </c>
      <c r="C6" s="24" t="s">
        <v>171</v>
      </c>
      <c r="D6" s="67">
        <v>54149</v>
      </c>
      <c r="E6" s="25">
        <v>43005</v>
      </c>
      <c r="F6" s="24">
        <f t="shared" ca="1" si="0"/>
        <v>3312</v>
      </c>
      <c r="G6" s="24" t="str">
        <f t="shared" si="1"/>
        <v>Employee</v>
      </c>
      <c r="H6" s="24" t="str">
        <f t="shared" si="2"/>
        <v>EMPLOYEE 5</v>
      </c>
      <c r="I6" s="24" t="str">
        <f t="shared" si="3"/>
        <v>employee 5</v>
      </c>
      <c r="K6" s="68" t="s">
        <v>224</v>
      </c>
      <c r="L6" s="68" t="s">
        <v>225</v>
      </c>
      <c r="M6" s="68" t="s">
        <v>173</v>
      </c>
      <c r="N6" s="7"/>
      <c r="O6" s="7"/>
    </row>
    <row r="7" spans="1:15" ht="25.5" customHeight="1" x14ac:dyDescent="0.25">
      <c r="A7" s="24">
        <v>3006</v>
      </c>
      <c r="B7" s="24" t="s">
        <v>172</v>
      </c>
      <c r="C7" s="24" t="s">
        <v>171</v>
      </c>
      <c r="D7" s="67">
        <v>78689</v>
      </c>
      <c r="E7" s="25">
        <v>43255</v>
      </c>
      <c r="F7" s="24">
        <f t="shared" ca="1" si="0"/>
        <v>3062</v>
      </c>
      <c r="G7" s="24" t="str">
        <f t="shared" si="1"/>
        <v>Employee</v>
      </c>
      <c r="H7" s="24" t="str">
        <f t="shared" si="2"/>
        <v>EMPLOYEE 6</v>
      </c>
      <c r="I7" s="24" t="str">
        <f t="shared" si="3"/>
        <v>employee 6</v>
      </c>
      <c r="K7" s="68" t="s">
        <v>226</v>
      </c>
      <c r="L7" s="68" t="s">
        <v>227</v>
      </c>
      <c r="M7" s="68" t="s">
        <v>173</v>
      </c>
      <c r="N7" s="7"/>
      <c r="O7" s="7"/>
    </row>
    <row r="8" spans="1:15" ht="25.5" customHeight="1" x14ac:dyDescent="0.25">
      <c r="A8" s="24">
        <v>3007</v>
      </c>
      <c r="B8" s="24" t="s">
        <v>173</v>
      </c>
      <c r="C8" s="24" t="s">
        <v>174</v>
      </c>
      <c r="D8" s="67">
        <v>35960</v>
      </c>
      <c r="E8" s="25">
        <v>43505</v>
      </c>
      <c r="F8" s="24">
        <f t="shared" ca="1" si="0"/>
        <v>2812</v>
      </c>
      <c r="G8" s="24" t="str">
        <f t="shared" si="1"/>
        <v>Employee</v>
      </c>
      <c r="H8" s="24" t="str">
        <f t="shared" si="2"/>
        <v>EMPLOYEE 7</v>
      </c>
      <c r="I8" s="24" t="str">
        <f t="shared" si="3"/>
        <v>employee 7</v>
      </c>
      <c r="K8" s="68" t="s">
        <v>228</v>
      </c>
      <c r="L8" s="68" t="s">
        <v>229</v>
      </c>
      <c r="M8" s="68" t="s">
        <v>173</v>
      </c>
      <c r="N8" s="7"/>
      <c r="O8" s="7"/>
    </row>
    <row r="9" spans="1:15" ht="23.25" customHeight="1" x14ac:dyDescent="0.25">
      <c r="A9" s="24">
        <v>3008</v>
      </c>
      <c r="B9" s="24" t="s">
        <v>175</v>
      </c>
      <c r="C9" s="24" t="s">
        <v>171</v>
      </c>
      <c r="D9" s="67">
        <v>91659</v>
      </c>
      <c r="E9" s="25">
        <v>43755</v>
      </c>
      <c r="F9" s="24">
        <f t="shared" ca="1" si="0"/>
        <v>2562</v>
      </c>
      <c r="G9" s="24" t="str">
        <f t="shared" si="1"/>
        <v>Employee</v>
      </c>
      <c r="H9" s="24" t="str">
        <f t="shared" si="2"/>
        <v>EMPLOYEE 8</v>
      </c>
      <c r="I9" s="24" t="str">
        <f t="shared" si="3"/>
        <v>employee 8</v>
      </c>
    </row>
    <row r="10" spans="1:15" ht="23.25" customHeight="1" x14ac:dyDescent="0.25">
      <c r="A10" s="24">
        <v>3009</v>
      </c>
      <c r="B10" s="24" t="s">
        <v>176</v>
      </c>
      <c r="C10" s="24" t="s">
        <v>171</v>
      </c>
      <c r="D10" s="67">
        <v>90423</v>
      </c>
      <c r="E10" s="25">
        <v>44005</v>
      </c>
      <c r="F10" s="24">
        <f t="shared" ca="1" si="0"/>
        <v>2312</v>
      </c>
      <c r="G10" s="24" t="str">
        <f t="shared" si="1"/>
        <v>Employee</v>
      </c>
      <c r="H10" s="24" t="str">
        <f t="shared" si="2"/>
        <v>EMPLOYEE 9</v>
      </c>
      <c r="I10" s="24" t="str">
        <f t="shared" si="3"/>
        <v>employee 9</v>
      </c>
    </row>
    <row r="11" spans="1:15" ht="23.25" customHeight="1" x14ac:dyDescent="0.25">
      <c r="A11" s="24">
        <v>3010</v>
      </c>
      <c r="B11" s="24" t="s">
        <v>177</v>
      </c>
      <c r="C11" s="24" t="s">
        <v>168</v>
      </c>
      <c r="D11" s="67">
        <v>107877</v>
      </c>
      <c r="E11" s="25">
        <v>44255</v>
      </c>
      <c r="F11" s="24">
        <f t="shared" ca="1" si="0"/>
        <v>2062</v>
      </c>
      <c r="G11" s="24" t="str">
        <f t="shared" si="1"/>
        <v>Employee</v>
      </c>
      <c r="H11" s="24" t="str">
        <f t="shared" si="2"/>
        <v>EMPLOYEE 10</v>
      </c>
      <c r="I11" s="24" t="str">
        <f t="shared" si="3"/>
        <v>employee 10</v>
      </c>
    </row>
    <row r="12" spans="1:15" ht="23.25" customHeight="1" x14ac:dyDescent="0.25">
      <c r="A12" s="24">
        <v>3011</v>
      </c>
      <c r="B12" s="24" t="s">
        <v>178</v>
      </c>
      <c r="C12" s="24" t="s">
        <v>165</v>
      </c>
      <c r="D12" s="67">
        <v>107634</v>
      </c>
      <c r="E12" s="25">
        <v>44505</v>
      </c>
      <c r="F12" s="24">
        <f t="shared" ca="1" si="0"/>
        <v>1812</v>
      </c>
      <c r="G12" s="24" t="str">
        <f t="shared" si="1"/>
        <v>Employee</v>
      </c>
      <c r="H12" s="24" t="str">
        <f t="shared" si="2"/>
        <v>EMPLOYEE 11</v>
      </c>
      <c r="I12" s="24" t="str">
        <f t="shared" si="3"/>
        <v>employee 11</v>
      </c>
    </row>
    <row r="13" spans="1:15" ht="23.25" customHeight="1" x14ac:dyDescent="0.25">
      <c r="A13" s="24">
        <v>3012</v>
      </c>
      <c r="B13" s="24" t="s">
        <v>179</v>
      </c>
      <c r="C13" s="24" t="s">
        <v>165</v>
      </c>
      <c r="D13" s="67">
        <v>35226</v>
      </c>
      <c r="E13" s="25">
        <v>44755</v>
      </c>
      <c r="F13" s="24">
        <f t="shared" ca="1" si="0"/>
        <v>1562</v>
      </c>
      <c r="G13" s="24" t="str">
        <f t="shared" si="1"/>
        <v>Employee</v>
      </c>
      <c r="H13" s="24" t="str">
        <f t="shared" si="2"/>
        <v>EMPLOYEE 12</v>
      </c>
      <c r="I13" s="24" t="str">
        <f t="shared" si="3"/>
        <v>employee 12</v>
      </c>
    </row>
    <row r="14" spans="1:15" ht="23.25" customHeight="1" x14ac:dyDescent="0.25">
      <c r="A14" s="24">
        <v>3013</v>
      </c>
      <c r="B14" s="24" t="s">
        <v>180</v>
      </c>
      <c r="C14" s="24" t="s">
        <v>168</v>
      </c>
      <c r="D14" s="67">
        <v>40872</v>
      </c>
      <c r="E14" s="25">
        <v>45005</v>
      </c>
      <c r="F14" s="24">
        <f t="shared" ca="1" si="0"/>
        <v>1312</v>
      </c>
      <c r="G14" s="24" t="str">
        <f t="shared" si="1"/>
        <v>Employee</v>
      </c>
      <c r="H14" s="24" t="str">
        <f t="shared" si="2"/>
        <v>EMPLOYEE 13</v>
      </c>
      <c r="I14" s="24" t="str">
        <f t="shared" si="3"/>
        <v>employee 13</v>
      </c>
    </row>
    <row r="15" spans="1:15" ht="23.25" customHeight="1" x14ac:dyDescent="0.25">
      <c r="A15" s="24">
        <v>3014</v>
      </c>
      <c r="B15" s="24" t="s">
        <v>181</v>
      </c>
      <c r="C15" s="24" t="s">
        <v>168</v>
      </c>
      <c r="D15" s="67">
        <v>55378</v>
      </c>
      <c r="E15" s="25">
        <v>45255</v>
      </c>
      <c r="F15" s="24">
        <f t="shared" ca="1" si="0"/>
        <v>1062</v>
      </c>
      <c r="G15" s="24" t="str">
        <f t="shared" si="1"/>
        <v>Employee</v>
      </c>
      <c r="H15" s="24" t="str">
        <f t="shared" si="2"/>
        <v>EMPLOYEE 14</v>
      </c>
      <c r="I15" s="24" t="str">
        <f t="shared" si="3"/>
        <v>employee 14</v>
      </c>
    </row>
    <row r="16" spans="1:15" ht="23.25" customHeight="1" x14ac:dyDescent="0.25">
      <c r="A16" s="24">
        <v>3015</v>
      </c>
      <c r="B16" s="24" t="s">
        <v>182</v>
      </c>
      <c r="C16" s="24" t="s">
        <v>168</v>
      </c>
      <c r="D16" s="67">
        <v>63297</v>
      </c>
      <c r="E16" s="25">
        <v>45505</v>
      </c>
      <c r="F16" s="24">
        <f t="shared" ca="1" si="0"/>
        <v>812</v>
      </c>
      <c r="G16" s="24" t="str">
        <f t="shared" si="1"/>
        <v>Employee</v>
      </c>
      <c r="H16" s="24" t="str">
        <f t="shared" si="2"/>
        <v>EMPLOYEE 15</v>
      </c>
      <c r="I16" s="24" t="str">
        <f t="shared" si="3"/>
        <v>employee 15</v>
      </c>
    </row>
    <row r="17" spans="1:11" ht="23.25" customHeight="1" x14ac:dyDescent="0.25">
      <c r="A17" s="24">
        <v>3016</v>
      </c>
      <c r="B17" s="24" t="s">
        <v>183</v>
      </c>
      <c r="C17" s="24" t="s">
        <v>165</v>
      </c>
      <c r="D17" s="67">
        <v>114173</v>
      </c>
      <c r="E17" s="25">
        <v>45755</v>
      </c>
      <c r="F17" s="24">
        <f t="shared" ca="1" si="0"/>
        <v>562</v>
      </c>
      <c r="G17" s="24" t="str">
        <f t="shared" si="1"/>
        <v>Employee</v>
      </c>
      <c r="H17" s="24" t="str">
        <f t="shared" si="2"/>
        <v>EMPLOYEE 16</v>
      </c>
      <c r="I17" s="24" t="str">
        <f t="shared" si="3"/>
        <v>employee 16</v>
      </c>
    </row>
    <row r="18" spans="1:11" ht="23.25" customHeight="1" x14ac:dyDescent="0.25">
      <c r="A18" s="24">
        <v>3017</v>
      </c>
      <c r="B18" s="24" t="s">
        <v>184</v>
      </c>
      <c r="C18" s="24" t="s">
        <v>168</v>
      </c>
      <c r="D18" s="67">
        <v>86915</v>
      </c>
      <c r="E18" s="25">
        <v>46005</v>
      </c>
      <c r="F18" s="24">
        <f t="shared" ca="1" si="0"/>
        <v>312</v>
      </c>
      <c r="G18" s="24" t="str">
        <f t="shared" si="1"/>
        <v>Employee</v>
      </c>
      <c r="H18" s="24" t="str">
        <f t="shared" si="2"/>
        <v>EMPLOYEE 17</v>
      </c>
      <c r="I18" s="24" t="str">
        <f t="shared" si="3"/>
        <v>employee 17</v>
      </c>
    </row>
    <row r="19" spans="1:11" ht="23.25" customHeight="1" x14ac:dyDescent="0.25">
      <c r="A19" s="24">
        <v>3018</v>
      </c>
      <c r="B19" s="24" t="s">
        <v>185</v>
      </c>
      <c r="C19" s="24" t="s">
        <v>171</v>
      </c>
      <c r="D19" s="67">
        <v>116284</v>
      </c>
      <c r="E19" s="25">
        <v>46255</v>
      </c>
      <c r="F19" s="24">
        <f t="shared" ca="1" si="0"/>
        <v>62</v>
      </c>
      <c r="G19" s="24" t="str">
        <f t="shared" si="1"/>
        <v>Employee</v>
      </c>
      <c r="H19" s="24" t="str">
        <f t="shared" si="2"/>
        <v>EMPLOYEE 18</v>
      </c>
      <c r="I19" s="24" t="str">
        <f t="shared" si="3"/>
        <v>employee 18</v>
      </c>
    </row>
    <row r="20" spans="1:11" ht="23.25" customHeight="1" x14ac:dyDescent="0.25">
      <c r="A20" s="24">
        <v>3019</v>
      </c>
      <c r="B20" s="24" t="s">
        <v>186</v>
      </c>
      <c r="C20" s="24" t="s">
        <v>174</v>
      </c>
      <c r="D20" s="67">
        <v>116283</v>
      </c>
      <c r="E20" s="25">
        <v>46505</v>
      </c>
      <c r="F20" s="24" t="str">
        <f t="shared" ca="1" si="0"/>
        <v>Not joined yet</v>
      </c>
      <c r="G20" s="24" t="str">
        <f t="shared" si="1"/>
        <v>Employee</v>
      </c>
      <c r="H20" s="24" t="str">
        <f t="shared" si="2"/>
        <v>EMPLOYEE 19</v>
      </c>
      <c r="I20" s="24" t="str">
        <f t="shared" si="3"/>
        <v>employee 19</v>
      </c>
    </row>
    <row r="21" spans="1:11" ht="23.25" customHeight="1" x14ac:dyDescent="0.25">
      <c r="A21" s="24">
        <v>3020</v>
      </c>
      <c r="B21" s="24" t="s">
        <v>187</v>
      </c>
      <c r="C21" s="24" t="s">
        <v>174</v>
      </c>
      <c r="D21" s="67">
        <v>99924</v>
      </c>
      <c r="E21" s="25">
        <v>46755</v>
      </c>
      <c r="F21" s="24" t="str">
        <f t="shared" ca="1" si="0"/>
        <v>Not joined yet</v>
      </c>
      <c r="G21" s="24" t="str">
        <f t="shared" si="1"/>
        <v>Employee</v>
      </c>
      <c r="H21" s="24" t="str">
        <f t="shared" si="2"/>
        <v>EMPLOYEE 20</v>
      </c>
      <c r="I21" s="24" t="str">
        <f t="shared" si="3"/>
        <v>employee 20</v>
      </c>
    </row>
    <row r="25" spans="1:11" ht="15.75" x14ac:dyDescent="0.25">
      <c r="A25" s="19" t="s">
        <v>210</v>
      </c>
      <c r="B25" s="19" t="s">
        <v>211</v>
      </c>
      <c r="C25" s="19" t="s">
        <v>36</v>
      </c>
      <c r="D25" s="19" t="s">
        <v>37</v>
      </c>
      <c r="G25" s="20" t="s">
        <v>208</v>
      </c>
      <c r="H25" s="20" t="s">
        <v>230</v>
      </c>
      <c r="I25" s="20" t="s">
        <v>231</v>
      </c>
      <c r="J25" s="20" t="s">
        <v>232</v>
      </c>
      <c r="K25" s="20" t="s">
        <v>233</v>
      </c>
    </row>
    <row r="26" spans="1:11" ht="30" x14ac:dyDescent="0.25">
      <c r="A26" s="70" t="s">
        <v>212</v>
      </c>
      <c r="B26" s="70">
        <v>3007</v>
      </c>
      <c r="C26" s="70" t="e">
        <f ca="1">_xludf.XLOOKUP(B26,$A$3:$A$22,$D$3:$D$22,"Not found")</f>
        <v>#NAME?</v>
      </c>
      <c r="D26" s="70" t="s">
        <v>213</v>
      </c>
      <c r="G26" s="13" t="s">
        <v>156</v>
      </c>
      <c r="H26" s="13" t="s">
        <v>209</v>
      </c>
      <c r="I26" s="13" t="s">
        <v>161</v>
      </c>
      <c r="J26" s="13" t="s">
        <v>162</v>
      </c>
      <c r="K26" s="13" t="s">
        <v>163</v>
      </c>
    </row>
    <row r="27" spans="1:11" ht="30" x14ac:dyDescent="0.25">
      <c r="A27" s="70" t="s">
        <v>214</v>
      </c>
      <c r="B27" s="70" t="s">
        <v>158</v>
      </c>
      <c r="C27" s="70" t="s">
        <v>215</v>
      </c>
      <c r="D27" s="70" t="s">
        <v>216</v>
      </c>
      <c r="G27" s="68">
        <v>3001</v>
      </c>
      <c r="H27" s="68" t="s">
        <v>164</v>
      </c>
      <c r="I27" s="68" t="str">
        <f t="shared" ref="I27:I46" si="4">C11</f>
        <v>HR</v>
      </c>
      <c r="J27" s="68">
        <f>D11</f>
        <v>107877</v>
      </c>
      <c r="K27" s="68">
        <f>E11</f>
        <v>44255</v>
      </c>
    </row>
    <row r="28" spans="1:11" x14ac:dyDescent="0.25">
      <c r="A28" s="70" t="s">
        <v>217</v>
      </c>
      <c r="B28" s="70">
        <v>3007</v>
      </c>
      <c r="C28" s="71">
        <f>INDEX($D$3:$D$22,MATCH(B28,$A$3:$A$22,0))</f>
        <v>35960</v>
      </c>
      <c r="D28" s="70" t="s">
        <v>218</v>
      </c>
      <c r="G28" s="68">
        <v>3002</v>
      </c>
      <c r="H28" s="68" t="s">
        <v>166</v>
      </c>
      <c r="I28" s="68" t="str">
        <f t="shared" si="4"/>
        <v>Finance</v>
      </c>
      <c r="J28" s="68">
        <f>D12</f>
        <v>107634</v>
      </c>
      <c r="K28" s="68">
        <f>E12</f>
        <v>44505</v>
      </c>
    </row>
    <row r="29" spans="1:11" x14ac:dyDescent="0.25">
      <c r="G29" s="68">
        <v>3003</v>
      </c>
      <c r="H29" s="68" t="s">
        <v>167</v>
      </c>
      <c r="I29" s="68" t="str">
        <f t="shared" si="4"/>
        <v>Finance</v>
      </c>
      <c r="J29" s="68">
        <f>D13</f>
        <v>35226</v>
      </c>
      <c r="K29" s="68">
        <f>E13</f>
        <v>44755</v>
      </c>
    </row>
    <row r="30" spans="1:11" x14ac:dyDescent="0.25">
      <c r="G30" s="68">
        <v>3004</v>
      </c>
      <c r="H30" s="68" t="s">
        <v>169</v>
      </c>
      <c r="I30" s="68" t="str">
        <f t="shared" si="4"/>
        <v>HR</v>
      </c>
      <c r="J30" s="68">
        <f>D14</f>
        <v>40872</v>
      </c>
      <c r="K30" s="68">
        <f>E14</f>
        <v>45005</v>
      </c>
    </row>
    <row r="31" spans="1:11" x14ac:dyDescent="0.25">
      <c r="G31" s="68">
        <v>3005</v>
      </c>
      <c r="H31" s="68" t="s">
        <v>170</v>
      </c>
      <c r="I31" s="68" t="str">
        <f t="shared" si="4"/>
        <v>HR</v>
      </c>
      <c r="J31" s="68">
        <f>D15</f>
        <v>55378</v>
      </c>
      <c r="K31" s="68">
        <f>E15</f>
        <v>45255</v>
      </c>
    </row>
    <row r="32" spans="1:11" x14ac:dyDescent="0.25">
      <c r="G32" s="68">
        <v>3006</v>
      </c>
      <c r="H32" s="68" t="s">
        <v>172</v>
      </c>
      <c r="I32" s="68" t="str">
        <f t="shared" si="4"/>
        <v>HR</v>
      </c>
      <c r="J32" s="68">
        <f>D16</f>
        <v>63297</v>
      </c>
      <c r="K32" s="68">
        <f>E16</f>
        <v>45505</v>
      </c>
    </row>
    <row r="33" spans="7:11" x14ac:dyDescent="0.25">
      <c r="G33" s="68">
        <v>3007</v>
      </c>
      <c r="H33" s="68" t="s">
        <v>173</v>
      </c>
      <c r="I33" s="68" t="str">
        <f t="shared" si="4"/>
        <v>Finance</v>
      </c>
      <c r="J33" s="68">
        <f>D17</f>
        <v>114173</v>
      </c>
      <c r="K33" s="68">
        <f>E17</f>
        <v>45755</v>
      </c>
    </row>
    <row r="34" spans="7:11" x14ac:dyDescent="0.25">
      <c r="G34" s="68">
        <v>3008</v>
      </c>
      <c r="H34" s="68" t="s">
        <v>175</v>
      </c>
      <c r="I34" s="68" t="str">
        <f t="shared" si="4"/>
        <v>HR</v>
      </c>
      <c r="J34" s="68">
        <f>D18</f>
        <v>86915</v>
      </c>
      <c r="K34" s="68">
        <f>E18</f>
        <v>46005</v>
      </c>
    </row>
    <row r="35" spans="7:11" x14ac:dyDescent="0.25">
      <c r="G35" s="68">
        <v>3009</v>
      </c>
      <c r="H35" s="68" t="s">
        <v>176</v>
      </c>
      <c r="I35" s="68" t="str">
        <f t="shared" si="4"/>
        <v>IT</v>
      </c>
      <c r="J35" s="68">
        <f>D19</f>
        <v>116284</v>
      </c>
      <c r="K35" s="68">
        <f>E19</f>
        <v>46255</v>
      </c>
    </row>
    <row r="36" spans="7:11" x14ac:dyDescent="0.25">
      <c r="G36" s="68">
        <v>3010</v>
      </c>
      <c r="H36" s="68" t="s">
        <v>177</v>
      </c>
      <c r="I36" s="68" t="str">
        <f t="shared" si="4"/>
        <v>Marketing</v>
      </c>
      <c r="J36" s="68">
        <f>D20</f>
        <v>116283</v>
      </c>
      <c r="K36" s="68">
        <f>E20</f>
        <v>46505</v>
      </c>
    </row>
    <row r="37" spans="7:11" x14ac:dyDescent="0.25">
      <c r="G37" s="68">
        <v>3011</v>
      </c>
      <c r="H37" s="68" t="s">
        <v>178</v>
      </c>
      <c r="I37" s="68" t="str">
        <f t="shared" si="4"/>
        <v>Marketing</v>
      </c>
      <c r="J37" s="68">
        <f>D21</f>
        <v>99924</v>
      </c>
      <c r="K37" s="68">
        <f>E21</f>
        <v>46755</v>
      </c>
    </row>
    <row r="38" spans="7:11" x14ac:dyDescent="0.25">
      <c r="G38" s="68">
        <v>3012</v>
      </c>
      <c r="H38" s="68" t="s">
        <v>179</v>
      </c>
      <c r="I38" s="68">
        <f t="shared" si="4"/>
        <v>0</v>
      </c>
      <c r="J38" s="68">
        <f>D22</f>
        <v>0</v>
      </c>
      <c r="K38" s="68">
        <f>E22</f>
        <v>0</v>
      </c>
    </row>
    <row r="39" spans="7:11" x14ac:dyDescent="0.25">
      <c r="G39" s="68">
        <v>3013</v>
      </c>
      <c r="H39" s="68" t="s">
        <v>180</v>
      </c>
      <c r="I39" s="68">
        <f t="shared" si="4"/>
        <v>0</v>
      </c>
      <c r="J39" s="68">
        <f>D23</f>
        <v>0</v>
      </c>
      <c r="K39" s="68">
        <f>E23</f>
        <v>0</v>
      </c>
    </row>
    <row r="40" spans="7:11" x14ac:dyDescent="0.25">
      <c r="G40" s="68">
        <v>3014</v>
      </c>
      <c r="H40" s="68" t="s">
        <v>181</v>
      </c>
      <c r="I40" s="68">
        <f t="shared" si="4"/>
        <v>0</v>
      </c>
      <c r="J40" s="68">
        <f>D24</f>
        <v>0</v>
      </c>
      <c r="K40" s="68">
        <f>E24</f>
        <v>0</v>
      </c>
    </row>
    <row r="41" spans="7:11" x14ac:dyDescent="0.25">
      <c r="G41" s="68">
        <v>3015</v>
      </c>
      <c r="H41" s="68" t="s">
        <v>182</v>
      </c>
      <c r="I41" s="68" t="str">
        <f t="shared" si="4"/>
        <v>Result</v>
      </c>
      <c r="J41" s="68" t="str">
        <f>D25</f>
        <v>Notes</v>
      </c>
      <c r="K41" s="68">
        <f>E25</f>
        <v>0</v>
      </c>
    </row>
    <row r="42" spans="7:11" ht="30" x14ac:dyDescent="0.25">
      <c r="G42" s="68">
        <v>3016</v>
      </c>
      <c r="H42" s="68" t="s">
        <v>183</v>
      </c>
      <c r="I42" s="68" t="e">
        <f t="shared" ca="1" si="4"/>
        <v>#NAME?</v>
      </c>
      <c r="J42" s="68" t="str">
        <f>D26</f>
        <v>Returns salary</v>
      </c>
      <c r="K42" s="68">
        <f>E26</f>
        <v>0</v>
      </c>
    </row>
    <row r="43" spans="7:11" ht="41.25" customHeight="1" x14ac:dyDescent="0.25">
      <c r="G43" s="68">
        <v>3017</v>
      </c>
      <c r="H43" s="68" t="s">
        <v>184</v>
      </c>
      <c r="I43" s="68" t="str">
        <f t="shared" si="4"/>
        <v>Use XLOOKUP or INDEX/MATCH</v>
      </c>
      <c r="J43" s="68" t="str">
        <f>D27</f>
        <v>Return column is Salary</v>
      </c>
      <c r="K43" s="68">
        <f>E27</f>
        <v>0</v>
      </c>
    </row>
    <row r="44" spans="7:11" ht="30" x14ac:dyDescent="0.25">
      <c r="G44" s="70">
        <v>3018</v>
      </c>
      <c r="H44" s="70" t="s">
        <v>185</v>
      </c>
      <c r="I44" s="70">
        <f t="shared" si="4"/>
        <v>35960</v>
      </c>
      <c r="J44" s="70" t="str">
        <f>D28</f>
        <v>Returns ₹35,960</v>
      </c>
      <c r="K44" s="70">
        <f>E28</f>
        <v>0</v>
      </c>
    </row>
    <row r="45" spans="7:11" x14ac:dyDescent="0.25">
      <c r="G45" s="70">
        <v>3019</v>
      </c>
      <c r="H45" s="70" t="s">
        <v>186</v>
      </c>
      <c r="I45" s="70">
        <f t="shared" si="4"/>
        <v>0</v>
      </c>
      <c r="J45" s="70">
        <f>D29</f>
        <v>0</v>
      </c>
      <c r="K45" s="70">
        <f>E29</f>
        <v>0</v>
      </c>
    </row>
    <row r="46" spans="7:11" x14ac:dyDescent="0.25">
      <c r="G46" s="70">
        <v>3020</v>
      </c>
      <c r="H46" s="70" t="s">
        <v>187</v>
      </c>
      <c r="I46" s="70">
        <f t="shared" si="4"/>
        <v>0</v>
      </c>
      <c r="J46" s="70">
        <f>D30</f>
        <v>0</v>
      </c>
      <c r="K46" s="70">
        <f>E30</f>
        <v>0</v>
      </c>
    </row>
  </sheetData>
  <mergeCells count="1">
    <mergeCell ref="K2:N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 </vt:lpstr>
      <vt:lpstr> SALES DATA </vt:lpstr>
      <vt:lpstr> EMPLOYEES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kavita khushalani</dc:creator>
  <cp:lastModifiedBy>kavita khushalani</cp:lastModifiedBy>
  <dcterms:created xsi:type="dcterms:W3CDTF">2026-10-21T05:06:23Z</dcterms:created>
  <dcterms:modified xsi:type="dcterms:W3CDTF">2026-10-22T03:47:28Z</dcterms:modified>
</cp:coreProperties>
</file>